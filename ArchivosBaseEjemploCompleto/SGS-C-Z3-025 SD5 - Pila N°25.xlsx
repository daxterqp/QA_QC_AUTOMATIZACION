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xml"/>
  <Override PartName="/xl/comments5.xml" ContentType="application/vnd.openxmlformats-officedocument.spreadsheetml.comments+xml"/>
  <Override PartName="/xl/charts/chart8.xml" ContentType="application/vnd.openxmlformats-officedocument.drawingml.chart+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24226"/>
  <mc:AlternateContent xmlns:mc="http://schemas.openxmlformats.org/markup-compatibility/2006">
    <mc:Choice Requires="x15">
      <x15ac:absPath xmlns:x15ac="http://schemas.microsoft.com/office/spreadsheetml/2010/11/ac" url="D:\AAA Simple Lab\07 CV - SD\Z3-Granulometria\"/>
    </mc:Choice>
  </mc:AlternateContent>
  <xr:revisionPtr revIDLastSave="0" documentId="13_ncr:1_{02F326A9-6C66-4049-A7E2-E9029184E6A2}" xr6:coauthVersionLast="47" xr6:coauthVersionMax="47" xr10:uidLastSave="{00000000-0000-0000-0000-000000000000}"/>
  <bookViews>
    <workbookView xWindow="-108" yWindow="-108" windowWidth="23256" windowHeight="12456" tabRatio="846" firstSheet="5" activeTab="5" xr2:uid="{00000000-000D-0000-FFFF-FFFF00000000}"/>
  </bookViews>
  <sheets>
    <sheet name="SUCS N° 01" sheetId="42" state="hidden" r:id="rId1"/>
    <sheet name="SUCS N° 02" sheetId="19" state="hidden" r:id="rId2"/>
    <sheet name="SUCS N° 03" sheetId="40" state="hidden" r:id="rId3"/>
    <sheet name="AASHTO N° 01" sheetId="41" state="hidden" r:id="rId4"/>
    <sheet name="AASHTO N° 02" sheetId="38" state="hidden" r:id="rId5"/>
    <sheet name="D6913" sheetId="4" r:id="rId6"/>
    <sheet name="D4318"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#REF!</definedName>
    <definedName name="__DAT1">#REF!</definedName>
    <definedName name="_DAT1">#REF!</definedName>
    <definedName name="A">#REF!</definedName>
    <definedName name="A_impresión_IM">#REF!</definedName>
    <definedName name="AA">#REF!</definedName>
    <definedName name="AA00">#REF!</definedName>
    <definedName name="AAA">#REF!</definedName>
    <definedName name="AAAA">'[1]#¡REF'!$A$2:$D$17</definedName>
    <definedName name="Aaaaa">#REF!</definedName>
    <definedName name="AABB">#REF!</definedName>
    <definedName name="AALL">#REF!</definedName>
    <definedName name="abcd">#REF!</definedName>
    <definedName name="ABRASION">#REF!</definedName>
    <definedName name="AC">#REF!</definedName>
    <definedName name="AGUACEMEN" localSheetId="6">#REF!</definedName>
    <definedName name="AGUACEMEN" localSheetId="1">#REF!</definedName>
    <definedName name="AGUAUNIT" localSheetId="6">#REF!</definedName>
    <definedName name="AGUAUNIT" localSheetId="1">#REF!</definedName>
    <definedName name="AIREATRAP" localSheetId="6">#REF!</definedName>
    <definedName name="AIREATRAP" localSheetId="1">#REF!</definedName>
    <definedName name="_xlnm.Print_Area" localSheetId="4">'AASHTO N° 02'!$A$1:$M$61</definedName>
    <definedName name="_xlnm.Print_Area" localSheetId="6">'D4318'!$B$1:$N$79</definedName>
    <definedName name="_xlnm.Print_Area" localSheetId="5">'D6913'!$A$1:$L$88</definedName>
    <definedName name="_xlnm.Print_Area" localSheetId="2">'SUCS N° 03'!$A$1:$I$29</definedName>
    <definedName name="_xlnm.Print_Area">[2]CI!$A$6:$K$56</definedName>
    <definedName name="Arena">'D6913'!$T$60</definedName>
    <definedName name="B">#REF!</definedName>
    <definedName name="borrado">[3]!borrado</definedName>
    <definedName name="C.H." localSheetId="6">#REF!</definedName>
    <definedName name="C.H." localSheetId="1">#REF!</definedName>
    <definedName name="CA">#REF!</definedName>
    <definedName name="Caras">[4]BGA!$H$9</definedName>
    <definedName name="CC" localSheetId="2">'SUCS N° 03'!$L$6</definedName>
    <definedName name="CC">[5]SUCS!$L$6</definedName>
    <definedName name="cddd">#REF!</definedName>
    <definedName name="CF">#REF!</definedName>
    <definedName name="CH" localSheetId="2">'SUCS N° 03'!$L$21</definedName>
    <definedName name="CH">#REF!</definedName>
    <definedName name="CHA">#REF!</definedName>
    <definedName name="chancada">#REF!</definedName>
    <definedName name="Chatas">#REF!</definedName>
    <definedName name="CL" localSheetId="2">'SUCS N° 03'!$L$18</definedName>
    <definedName name="CL">#REF!</definedName>
    <definedName name="CLML" localSheetId="2">'SUCS N° 03'!$L$23</definedName>
    <definedName name="CLML">#REF!</definedName>
    <definedName name="CM" localSheetId="2">[6]BGA!$H$9</definedName>
    <definedName name="CM">[7]BGA!$H$9</definedName>
    <definedName name="COE0G3">#REF!</definedName>
    <definedName name="COE0G4">#REF!</definedName>
    <definedName name="COE1G3">#REF!</definedName>
    <definedName name="COE1G4">#REF!</definedName>
    <definedName name="COE2G3">#REF!</definedName>
    <definedName name="COE2G4">#REF!</definedName>
    <definedName name="COE3G3">#REF!</definedName>
    <definedName name="COE3G4">#REF!</definedName>
    <definedName name="COE4G4">#REF!</definedName>
    <definedName name="COLUMNITAS">#REF!</definedName>
    <definedName name="COMPACT">#REF!</definedName>
    <definedName name="_xlnm.Criteria">#REF!</definedName>
    <definedName name="CU" localSheetId="2">'SUCS N° 03'!$L$5</definedName>
    <definedName name="CU">[5]SUCS!$L$5</definedName>
    <definedName name="D">#REF!</definedName>
    <definedName name="datitos">#REF!</definedName>
    <definedName name="Dato" localSheetId="6">#REF!</definedName>
    <definedName name="Dato" localSheetId="1">#REF!</definedName>
    <definedName name="Dato">#REF!</definedName>
    <definedName name="datos" localSheetId="6">#REF!</definedName>
    <definedName name="datos" localSheetId="1">#REF!</definedName>
    <definedName name="datos">#REF!</definedName>
    <definedName name="DATOSDOS">#REF!</definedName>
    <definedName name="Datoss" localSheetId="6">#REF!</definedName>
    <definedName name="Datoss" localSheetId="1">#REF!</definedName>
    <definedName name="Datoss">#REF!</definedName>
    <definedName name="DATOSUNO">#REF!</definedName>
    <definedName name="de_estructura">#REF!</definedName>
    <definedName name="diasem" localSheetId="2">#REF!</definedName>
    <definedName name="diasem">#REF!</definedName>
    <definedName name="Divisiones" localSheetId="2">#REF!</definedName>
    <definedName name="Divisiones">#REF!</definedName>
    <definedName name="E">#REF!</definedName>
    <definedName name="E.A.">#REF!</definedName>
    <definedName name="ED">#REF!</definedName>
    <definedName name="ELEMENTOS">#REF!</definedName>
    <definedName name="equis">#REF!</definedName>
    <definedName name="escala" localSheetId="2">#REF!</definedName>
    <definedName name="escala">#REF!</definedName>
    <definedName name="ESP.">"Línea 6"</definedName>
    <definedName name="ESTANDAR">#REF!</definedName>
    <definedName name="excasma">#REF!</definedName>
    <definedName name="FF">#REF!</definedName>
    <definedName name="FFF">#REF!</definedName>
    <definedName name="fgdgfb">#REF!</definedName>
    <definedName name="Finos">'D6913'!$T$63</definedName>
    <definedName name="GAUS" localSheetId="2">#REF!</definedName>
    <definedName name="GAUS">#REF!</definedName>
    <definedName name="GC" localSheetId="2">'SUCS N° 03'!$L$12</definedName>
    <definedName name="GC">#REF!</definedName>
    <definedName name="GCGM" localSheetId="2">'SUCS N° 03'!$M$11</definedName>
    <definedName name="GCGM">#REF!</definedName>
    <definedName name="GM" localSheetId="2">'SUCS N° 03'!$L$11</definedName>
    <definedName name="GM">#REF!</definedName>
    <definedName name="GP" localSheetId="2">'SUCS N° 03'!$L$10</definedName>
    <definedName name="GP">#REF!</definedName>
    <definedName name="GPGC" localSheetId="2">'SUCS N° 03'!$M$10</definedName>
    <definedName name="GPGC">#REF!</definedName>
    <definedName name="GPGCGM" localSheetId="2">'SUCS N° 03'!$O$10</definedName>
    <definedName name="GPGCGM">#REF!</definedName>
    <definedName name="GPGM" localSheetId="2">'SUCS N° 03'!$N$10</definedName>
    <definedName name="GPGM">#REF!</definedName>
    <definedName name="GR">#REF!</definedName>
    <definedName name="Grava">'D6913'!$T$58</definedName>
    <definedName name="GRT">#REF!</definedName>
    <definedName name="GW" localSheetId="2">'SUCS N° 03'!$L$9</definedName>
    <definedName name="GW">#REF!</definedName>
    <definedName name="GWGC" localSheetId="2">'SUCS N° 03'!$M$9</definedName>
    <definedName name="GWGC">#REF!</definedName>
    <definedName name="GWGCGM" localSheetId="2">'SUCS N° 03'!$O$9</definedName>
    <definedName name="GWGCGM">#REF!</definedName>
    <definedName name="GWGM" localSheetId="2">'SUCS N° 03'!$N$9</definedName>
    <definedName name="GWGM">#REF!</definedName>
    <definedName name="H.N.">#REF!</definedName>
    <definedName name="Imprimir_área_IM">#REF!</definedName>
    <definedName name="INDICE">#REF!</definedName>
    <definedName name="Ingenieros">#REF!</definedName>
    <definedName name="IP" localSheetId="2">'SUCS N° 03'!$L$4</definedName>
    <definedName name="IP">[5]SUCS!$L$4</definedName>
    <definedName name="JON" localSheetId="6">#REF!</definedName>
    <definedName name="JON" localSheetId="1">#REF!</definedName>
    <definedName name="JULIO">#REF!</definedName>
    <definedName name="laditos">#REF!</definedName>
    <definedName name="lados">#REF!</definedName>
    <definedName name="LIMITE1">#REF!</definedName>
    <definedName name="LIMITES" localSheetId="6">#REF!</definedName>
    <definedName name="LIMITES" localSheetId="1">#REF!</definedName>
    <definedName name="LIMITES">#REF!</definedName>
    <definedName name="limites.">#REF!</definedName>
    <definedName name="limitess">#REF!</definedName>
    <definedName name="Ll" localSheetId="2">'SUCS N° 03'!$L$3</definedName>
    <definedName name="Ll">[5]SUCS!$L$3</definedName>
    <definedName name="M_200">'[2]Granul. 1'!$G$52</definedName>
    <definedName name="M_4">'[2]Granul. 1'!$G$41</definedName>
    <definedName name="ma">[3]!borrado</definedName>
    <definedName name="MAAARCO" localSheetId="6">#REF!</definedName>
    <definedName name="MAAARCO" localSheetId="1">#REF!</definedName>
    <definedName name="maxx">#REF!</definedName>
    <definedName name="MH" localSheetId="2">'SUCS N° 03'!$L$20</definedName>
    <definedName name="MH">#REF!</definedName>
    <definedName name="MINX">#REF!</definedName>
    <definedName name="ML" localSheetId="2">'SUCS N° 03'!$L$17</definedName>
    <definedName name="ML">#REF!</definedName>
    <definedName name="MODIF">#REF!</definedName>
    <definedName name="MOLDECBR">[8]DATOS!$J$2:$N$58</definedName>
    <definedName name="moldes">#REF!</definedName>
    <definedName name="MOLDESCBR2">#REF!</definedName>
    <definedName name="MORA" localSheetId="2">[6]BGA!$H$13</definedName>
    <definedName name="MORA">[7]BGA!$H$13</definedName>
    <definedName name="MPROCTOR">#REF!</definedName>
    <definedName name="N">#REF!</definedName>
    <definedName name="N_10" localSheetId="2">'SUCS N° 03'!$C$5</definedName>
    <definedName name="N_10">[5]SUCS!$C$5</definedName>
    <definedName name="N_200" localSheetId="2">'SUCS N° 03'!$C$3</definedName>
    <definedName name="N_200">[5]SUCS!$C$3</definedName>
    <definedName name="N_4">#REF!</definedName>
    <definedName name="N_40" localSheetId="2">'SUCS N° 03'!$C$4</definedName>
    <definedName name="N_40">[5]SUCS!$C$4</definedName>
    <definedName name="o">#REF!</definedName>
    <definedName name="observaciones">#REF!</definedName>
    <definedName name="OH" localSheetId="2">'SUCS N° 03'!$L$22</definedName>
    <definedName name="OH">#REF!</definedName>
    <definedName name="OL" localSheetId="2">'SUCS N° 03'!$L$19</definedName>
    <definedName name="OL">#REF!</definedName>
    <definedName name="P.E">#REF!</definedName>
    <definedName name="PASA" localSheetId="6">#REF!</definedName>
    <definedName name="PASA" localSheetId="1">#REF!</definedName>
    <definedName name="PASA">#REF!</definedName>
    <definedName name="pc">#REF!</definedName>
    <definedName name="PEAgg">#REF!</definedName>
    <definedName name="PES">#REF!</definedName>
    <definedName name="PESOSCBR">#REF!</definedName>
    <definedName name="PESPOLI2">#REF!</definedName>
    <definedName name="PESPOLI3">#REF!</definedName>
    <definedName name="PESPOLI4">#REF!</definedName>
    <definedName name="pf">#REF!</definedName>
    <definedName name="POLI2">#REF!</definedName>
    <definedName name="POLI3">#REF!</definedName>
    <definedName name="POLI4">#REF!</definedName>
    <definedName name="PPrueba">#REF!</definedName>
    <definedName name="PQS">#REF!</definedName>
    <definedName name="PROTEGIDO1" localSheetId="6">'D4318'!$Q$31:$V$33</definedName>
    <definedName name="PROTEGIDO2" localSheetId="6">'D4318'!$Q$31:$Y$55</definedName>
    <definedName name="PUTAMARE">#REF!</definedName>
    <definedName name="puto">[3]!borrado</definedName>
    <definedName name="Q">#REF!</definedName>
    <definedName name="QA">#REF!</definedName>
    <definedName name="QW">'[1]#¡REF'!$A$2:$D$17</definedName>
    <definedName name="RANGO">#REF!</definedName>
    <definedName name="reemplazo">#REF!</definedName>
    <definedName name="Retiene_N_200">'D6913'!$T$64</definedName>
    <definedName name="RODRI">[4]BGA!$H$9</definedName>
    <definedName name="RODRIGO">[4]BGA!$H$9</definedName>
    <definedName name="rpta">#REF!</definedName>
    <definedName name="S">[4]BGA!$H$13</definedName>
    <definedName name="SC" localSheetId="2">'SUCS N° 03'!$L$16</definedName>
    <definedName name="SC">#REF!</definedName>
    <definedName name="SCSM" localSheetId="2">'SUCS N° 03'!$M$15</definedName>
    <definedName name="SCSM">#REF!</definedName>
    <definedName name="SM" localSheetId="2">'SUCS N° 03'!$L$15</definedName>
    <definedName name="SM">#REF!</definedName>
    <definedName name="SP" localSheetId="2">'SUCS N° 03'!$L$14</definedName>
    <definedName name="SP">#REF!</definedName>
    <definedName name="SPSC" localSheetId="2">'SUCS N° 03'!$M$14</definedName>
    <definedName name="SPSC">#REF!</definedName>
    <definedName name="SPSCSM" localSheetId="2">'SUCS N° 03'!$O$14</definedName>
    <definedName name="SPSCSM">#REF!</definedName>
    <definedName name="SPSM" localSheetId="2">'SUCS N° 03'!$N$14</definedName>
    <definedName name="SPSM">#REF!</definedName>
    <definedName name="STÁNDAR">#REF!</definedName>
    <definedName name="SW" localSheetId="2">'SUCS N° 03'!$L$13</definedName>
    <definedName name="SW">#REF!</definedName>
    <definedName name="SWSC" localSheetId="2">'SUCS N° 03'!$M$13</definedName>
    <definedName name="SWSC">#REF!</definedName>
    <definedName name="SWSCSM" localSheetId="2">'SUCS N° 03'!$O$13</definedName>
    <definedName name="SWSCSM">#REF!</definedName>
    <definedName name="SWSM" localSheetId="2">'SUCS N° 03'!$N$13</definedName>
    <definedName name="SWSM">#REF!</definedName>
    <definedName name="tab" localSheetId="6">#REF!</definedName>
    <definedName name="tab" localSheetId="1">#REF!</definedName>
    <definedName name="tab">#REF!</definedName>
    <definedName name="TABLA" localSheetId="6">#REF!</definedName>
    <definedName name="TABLA" localSheetId="1">#REF!</definedName>
    <definedName name="TABLA">#REF!</definedName>
    <definedName name="TABLA1" localSheetId="2">#REF!</definedName>
    <definedName name="TABLA1">#REF!</definedName>
    <definedName name="TABLA3" localSheetId="2">#REF!</definedName>
    <definedName name="TABLA3">#REF!</definedName>
    <definedName name="tabla5">#REF!</definedName>
    <definedName name="TABLAS">#REF!</definedName>
    <definedName name="tablass">#REF!</definedName>
    <definedName name="TABLITA">#REF!</definedName>
    <definedName name="TARRITOS">#REF!</definedName>
    <definedName name="TARROS" localSheetId="2">#REF!</definedName>
    <definedName name="TARROS">#REF!</definedName>
    <definedName name="TARROS2" localSheetId="2">#REF!</definedName>
    <definedName name="TARROS2">#REF!</definedName>
    <definedName name="TARROS3" localSheetId="2">#REF!</definedName>
    <definedName name="TARROS3">#REF!</definedName>
    <definedName name="TARROSLIMITE">#REF!</definedName>
    <definedName name="TCBR" localSheetId="2">#REF!</definedName>
    <definedName name="TCBR">#REF!</definedName>
    <definedName name="Técnicos">#REF!</definedName>
    <definedName name="Texas">[9]!borrado</definedName>
    <definedName name="Tiempo__s">#REF!</definedName>
    <definedName name="TipoMuestra">#REF!</definedName>
    <definedName name="VALORES">#REF!</definedName>
    <definedName name="VOLAGREG">#REF!</definedName>
    <definedName name="VOLUMENDECBR">#REF!</definedName>
    <definedName name="we">#REF!</definedName>
    <definedName name="X">#REF!</definedName>
    <definedName name="xyz">#REF!</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4" l="1"/>
  <c r="E39" i="4"/>
  <c r="E40" i="4"/>
  <c r="E41" i="4"/>
  <c r="E42" i="4"/>
  <c r="E43" i="4"/>
  <c r="E44" i="4"/>
  <c r="E46" i="4"/>
  <c r="E47" i="4"/>
  <c r="F47" i="4"/>
  <c r="F46" i="4"/>
  <c r="F25" i="4"/>
  <c r="F24" i="4"/>
  <c r="F23" i="4"/>
  <c r="F22" i="4"/>
  <c r="L23" i="4"/>
  <c r="I19" i="6" l="1"/>
  <c r="I20" i="6"/>
  <c r="I21" i="6" s="1"/>
  <c r="I22" i="6" l="1"/>
  <c r="AI70" i="4" l="1"/>
  <c r="AG94" i="4"/>
  <c r="U33" i="6" l="1"/>
  <c r="C26" i="4" l="1"/>
  <c r="C27" i="4"/>
  <c r="C28" i="4"/>
  <c r="C29" i="4"/>
  <c r="C30" i="4"/>
  <c r="D94" i="4"/>
  <c r="C94" i="4"/>
  <c r="B94" i="4"/>
  <c r="O70" i="4" l="1"/>
  <c r="P70" i="4" l="1"/>
  <c r="Q70" i="4"/>
  <c r="R70" i="4"/>
  <c r="E59" i="6"/>
  <c r="R45" i="6"/>
  <c r="S44" i="6"/>
  <c r="R44" i="6"/>
  <c r="Q44" i="6"/>
  <c r="J7" i="4" l="1"/>
  <c r="C35" i="4" l="1"/>
  <c r="R52" i="4" l="1"/>
  <c r="D7" i="6"/>
  <c r="D8" i="6"/>
  <c r="AN70" i="4" l="1"/>
  <c r="AL94" i="4"/>
  <c r="R39" i="4"/>
  <c r="L28" i="4"/>
  <c r="M12" i="6" l="1"/>
  <c r="M13" i="6"/>
  <c r="N13" i="6"/>
  <c r="N12" i="6"/>
  <c r="L6" i="6"/>
  <c r="L5" i="6"/>
  <c r="D6" i="6"/>
  <c r="G19" i="6"/>
  <c r="K19" i="6"/>
  <c r="G20" i="6"/>
  <c r="G21" i="6" s="1"/>
  <c r="K20" i="6"/>
  <c r="K21" i="6" s="1"/>
  <c r="J13" i="6"/>
  <c r="C13" i="6"/>
  <c r="K22" i="6" l="1"/>
  <c r="K23" i="6" s="1"/>
  <c r="I23" i="6"/>
  <c r="G22" i="6"/>
  <c r="F59" i="6" l="1"/>
  <c r="G23" i="6"/>
  <c r="AN94" i="4" l="1"/>
  <c r="AO70" i="4"/>
  <c r="AM94" i="4" l="1"/>
  <c r="AP70" i="4"/>
  <c r="AS94" i="4" l="1"/>
  <c r="C23" i="4"/>
  <c r="R42" i="4" l="1"/>
  <c r="G28" i="4"/>
  <c r="H28" i="4"/>
  <c r="L30" i="4" l="1"/>
  <c r="G45" i="4" l="1"/>
  <c r="H45" i="4"/>
  <c r="F102" i="4" l="1"/>
  <c r="F103" i="4"/>
  <c r="F104" i="4"/>
  <c r="R28" i="4"/>
  <c r="R29" i="4" s="1"/>
  <c r="C25" i="4"/>
  <c r="C24" i="4"/>
  <c r="L24" i="4" l="1"/>
  <c r="R36" i="4" l="1"/>
  <c r="R41" i="4" s="1"/>
  <c r="W29" i="4" s="1"/>
  <c r="L33" i="4" l="1"/>
  <c r="R27" i="4"/>
  <c r="L22" i="4" s="1"/>
  <c r="G32" i="6"/>
  <c r="R37" i="4" l="1"/>
  <c r="R38" i="4" s="1"/>
  <c r="R40" i="4"/>
  <c r="T46" i="4" s="1"/>
  <c r="I32" i="6" l="1"/>
  <c r="L7" i="6" l="1"/>
  <c r="E12" i="6"/>
  <c r="G27" i="4"/>
  <c r="H27" i="4"/>
  <c r="G29" i="4"/>
  <c r="H29" i="4"/>
  <c r="G30" i="4"/>
  <c r="H30" i="4"/>
  <c r="G31" i="4"/>
  <c r="H31" i="4"/>
  <c r="G32" i="4"/>
  <c r="H32" i="4"/>
  <c r="G33" i="4"/>
  <c r="H33" i="4"/>
  <c r="G34" i="4"/>
  <c r="H34" i="4"/>
  <c r="G35" i="4"/>
  <c r="H35" i="4"/>
  <c r="G36" i="4"/>
  <c r="H36" i="4"/>
  <c r="G37" i="4"/>
  <c r="H37" i="4"/>
  <c r="G38" i="4"/>
  <c r="H38" i="4"/>
  <c r="G39" i="4"/>
  <c r="H39" i="4"/>
  <c r="G40" i="4"/>
  <c r="H40" i="4"/>
  <c r="G41" i="4"/>
  <c r="H41" i="4"/>
  <c r="G42" i="4"/>
  <c r="H42" i="4"/>
  <c r="G43" i="4"/>
  <c r="H43" i="4"/>
  <c r="G44" i="4"/>
  <c r="H44" i="4"/>
  <c r="G46" i="4"/>
  <c r="H46" i="4"/>
  <c r="AB29" i="6" l="1"/>
  <c r="L34" i="4" l="1"/>
  <c r="Y27" i="6"/>
  <c r="S22" i="6"/>
  <c r="R23" i="6"/>
  <c r="P25" i="6" s="1"/>
  <c r="R22" i="6"/>
  <c r="P24" i="6" s="1"/>
  <c r="P28" i="6"/>
  <c r="S28" i="6" s="1"/>
  <c r="P27" i="6"/>
  <c r="S27" i="6" s="1"/>
  <c r="P23" i="6"/>
  <c r="S23" i="6" s="1"/>
  <c r="P22" i="6"/>
  <c r="I31" i="6"/>
  <c r="G31" i="6"/>
  <c r="W16" i="6"/>
  <c r="W17" i="6" s="1"/>
  <c r="V16" i="6"/>
  <c r="V17" i="6" s="1"/>
  <c r="U16" i="6"/>
  <c r="U17" i="6" s="1"/>
  <c r="AE70" i="4" l="1"/>
  <c r="AC94" i="4"/>
  <c r="S25" i="6"/>
  <c r="S24" i="6"/>
  <c r="S26" i="6"/>
  <c r="G33" i="6"/>
  <c r="G34" i="6" s="1"/>
  <c r="I33" i="6"/>
  <c r="I34" i="6" s="1"/>
  <c r="G35" i="6" l="1"/>
  <c r="S50" i="6"/>
  <c r="F60" i="6" l="1"/>
  <c r="B39" i="6"/>
  <c r="Q50" i="6"/>
  <c r="U18" i="6"/>
  <c r="W18" i="6"/>
  <c r="Q14" i="6"/>
  <c r="Q28" i="6"/>
  <c r="L35" i="4" l="1"/>
  <c r="F61" i="6"/>
  <c r="Q27" i="6"/>
  <c r="V27" i="6" s="1"/>
  <c r="C22" i="41"/>
  <c r="V18" i="6"/>
  <c r="S45" i="6" s="1"/>
  <c r="Q16" i="6"/>
  <c r="Q22" i="6"/>
  <c r="T22" i="6" s="1"/>
  <c r="Q13" i="6"/>
  <c r="Q15" i="6"/>
  <c r="V28" i="6"/>
  <c r="Y25" i="6"/>
  <c r="AC33" i="6"/>
  <c r="AF70" i="4" l="1"/>
  <c r="AD94" i="4"/>
  <c r="C22" i="42"/>
  <c r="V33" i="6"/>
  <c r="U34" i="6"/>
  <c r="R21" i="6"/>
  <c r="Q25" i="6" s="1"/>
  <c r="U25" i="6" s="1"/>
  <c r="Q23" i="6"/>
  <c r="T23" i="6" s="1"/>
  <c r="Y24" i="6"/>
  <c r="Q17" i="6"/>
  <c r="Q19" i="6" s="1"/>
  <c r="R19" i="6" l="1"/>
  <c r="Q24" i="6" s="1"/>
  <c r="U24" i="6" s="1"/>
  <c r="Q21" i="6"/>
  <c r="L4" i="41"/>
  <c r="L5" i="41"/>
  <c r="B57" i="41"/>
  <c r="B58" i="41"/>
  <c r="E58" i="41"/>
  <c r="B59" i="41"/>
  <c r="E59" i="41"/>
  <c r="F64" i="41"/>
  <c r="L36" i="4" l="1"/>
  <c r="C5" i="40"/>
  <c r="P10" i="38"/>
  <c r="AG70" i="4" l="1"/>
  <c r="AE94" i="4"/>
  <c r="C21" i="41"/>
  <c r="P11" i="38"/>
  <c r="C6" i="40"/>
  <c r="J139" i="4"/>
  <c r="J138" i="4"/>
  <c r="J137" i="4"/>
  <c r="J136" i="4"/>
  <c r="J135" i="4"/>
  <c r="J134" i="4"/>
  <c r="J133" i="4"/>
  <c r="J132" i="4"/>
  <c r="J131" i="4"/>
  <c r="J130" i="4"/>
  <c r="J129" i="4"/>
  <c r="J128" i="4"/>
  <c r="J127" i="4"/>
  <c r="J126" i="4"/>
  <c r="J125" i="4"/>
  <c r="J124" i="4"/>
  <c r="J123" i="4"/>
  <c r="J122" i="4"/>
  <c r="J121" i="4"/>
  <c r="B92" i="19" l="1"/>
  <c r="B93" i="19" s="1"/>
  <c r="C21" i="42"/>
  <c r="F126" i="4"/>
  <c r="G126" i="4" s="1"/>
  <c r="F125" i="4"/>
  <c r="G125" i="4" s="1"/>
  <c r="F112" i="4" l="1"/>
  <c r="F116" i="4"/>
  <c r="B149" i="4" l="1"/>
  <c r="B159" i="4"/>
  <c r="B157" i="4"/>
  <c r="B155" i="4"/>
  <c r="B153" i="4"/>
  <c r="B151" i="4"/>
  <c r="B147" i="4"/>
  <c r="B145" i="4"/>
  <c r="B143" i="4"/>
  <c r="B141" i="4"/>
  <c r="B139" i="4"/>
  <c r="B137" i="4"/>
  <c r="B135" i="4"/>
  <c r="B133" i="4"/>
  <c r="B131" i="4"/>
  <c r="B129" i="4"/>
  <c r="B127" i="4"/>
  <c r="B125" i="4"/>
  <c r="B123" i="4"/>
  <c r="B121" i="4"/>
  <c r="B119" i="4"/>
  <c r="B117" i="4"/>
  <c r="B115" i="4"/>
  <c r="B113" i="4"/>
  <c r="B111" i="4"/>
  <c r="B109" i="4"/>
  <c r="B107" i="4"/>
  <c r="B105" i="4"/>
  <c r="B103" i="4"/>
  <c r="C46" i="4"/>
  <c r="C38" i="4"/>
  <c r="K113" i="4" s="1"/>
  <c r="C36" i="4"/>
  <c r="K117" i="4" l="1"/>
  <c r="K112" i="4"/>
  <c r="G103" i="4"/>
  <c r="G104" i="4"/>
  <c r="F105" i="4"/>
  <c r="G105" i="4" s="1"/>
  <c r="F106" i="4"/>
  <c r="G106" i="4" s="1"/>
  <c r="F107" i="4"/>
  <c r="G107" i="4" s="1"/>
  <c r="F108" i="4"/>
  <c r="G108" i="4" s="1"/>
  <c r="F109" i="4"/>
  <c r="G109" i="4" s="1"/>
  <c r="F110" i="4"/>
  <c r="G110" i="4" s="1"/>
  <c r="F111" i="4"/>
  <c r="G111" i="4" s="1"/>
  <c r="G112" i="4"/>
  <c r="F113" i="4"/>
  <c r="G113" i="4" s="1"/>
  <c r="F114" i="4"/>
  <c r="G114" i="4" s="1"/>
  <c r="F115" i="4"/>
  <c r="G115" i="4" s="1"/>
  <c r="G116" i="4"/>
  <c r="F117" i="4"/>
  <c r="G117" i="4" s="1"/>
  <c r="F118" i="4"/>
  <c r="G118" i="4" s="1"/>
  <c r="F119" i="4"/>
  <c r="G119" i="4" s="1"/>
  <c r="F120" i="4"/>
  <c r="G120" i="4" s="1"/>
  <c r="F121" i="4"/>
  <c r="G121" i="4" s="1"/>
  <c r="F122" i="4"/>
  <c r="G122" i="4" s="1"/>
  <c r="F123" i="4"/>
  <c r="G123" i="4" s="1"/>
  <c r="F124" i="4"/>
  <c r="G124" i="4" s="1"/>
  <c r="C37" i="4"/>
  <c r="C39" i="4"/>
  <c r="C40" i="4"/>
  <c r="C41" i="4"/>
  <c r="K115" i="4" s="1"/>
  <c r="C42" i="4"/>
  <c r="C43" i="4"/>
  <c r="C44" i="4"/>
  <c r="K116" i="4" s="1"/>
  <c r="C34" i="4"/>
  <c r="K111" i="4" l="1"/>
  <c r="K114" i="4"/>
  <c r="C31" i="4"/>
  <c r="C17" i="4"/>
  <c r="S10" i="4" l="1"/>
  <c r="R7" i="4"/>
  <c r="O7" i="4"/>
  <c r="R6" i="4"/>
  <c r="O6" i="4"/>
  <c r="O5" i="4"/>
  <c r="X7" i="4" l="1"/>
  <c r="X6" i="4"/>
  <c r="V4" i="38" l="1"/>
  <c r="V5" i="38" s="1"/>
  <c r="V6" i="38" s="1"/>
  <c r="V7" i="38" s="1"/>
  <c r="V8" i="38" s="1"/>
  <c r="V9" i="38" s="1"/>
  <c r="V10" i="38" s="1"/>
  <c r="V11" i="38" s="1"/>
  <c r="U4" i="38"/>
  <c r="U5" i="38" s="1"/>
  <c r="U6" i="38" s="1"/>
  <c r="U7" i="38" s="1"/>
  <c r="U8" i="38" s="1"/>
  <c r="V3" i="38"/>
  <c r="U3" i="38"/>
  <c r="B97" i="19"/>
  <c r="K107" i="4" l="1"/>
  <c r="K106" i="4"/>
  <c r="K108" i="4"/>
  <c r="AB32" i="6" l="1"/>
  <c r="AO94" i="4" l="1"/>
  <c r="AR94" i="4" l="1"/>
  <c r="AQ94" i="4"/>
  <c r="AP94" i="4"/>
  <c r="AX94" i="4"/>
  <c r="AU94" i="4" l="1"/>
  <c r="AW94" i="4"/>
  <c r="AV94" i="4"/>
  <c r="AT94" i="4"/>
  <c r="W28" i="4" l="1"/>
  <c r="L25" i="4" l="1"/>
  <c r="K105" i="4"/>
  <c r="K104" i="4"/>
  <c r="K103" i="4"/>
  <c r="B12" i="6" l="1"/>
  <c r="C33" i="4" l="1"/>
  <c r="C32" i="4"/>
  <c r="K110" i="4" s="1"/>
  <c r="K109" i="4"/>
  <c r="R46" i="4" l="1"/>
  <c r="R53" i="4" l="1"/>
  <c r="L31" i="4" s="1"/>
  <c r="L29" i="4"/>
  <c r="C47" i="4" s="1"/>
  <c r="K118" i="4" l="1"/>
  <c r="AC29" i="6" l="1"/>
  <c r="AD29" i="6" s="1"/>
  <c r="AK94" i="4" l="1"/>
  <c r="AM70" i="4"/>
  <c r="AJ94" i="4" l="1"/>
  <c r="AL70" i="4"/>
  <c r="B13" i="6" l="1"/>
  <c r="R43" i="4" l="1"/>
  <c r="AA2" i="4" l="1"/>
  <c r="R50" i="6" l="1"/>
  <c r="O80" i="19" l="1"/>
  <c r="AG80" i="19" s="1"/>
  <c r="AL79" i="19"/>
  <c r="AJ79" i="19"/>
  <c r="AL78" i="19"/>
  <c r="AJ78" i="19"/>
  <c r="AM77" i="19"/>
  <c r="AJ77" i="19"/>
  <c r="AM76" i="19"/>
  <c r="AM75" i="19"/>
  <c r="AL75" i="19"/>
  <c r="AJ75" i="19"/>
  <c r="AM74" i="19"/>
  <c r="AL74" i="19"/>
  <c r="AM73" i="19"/>
  <c r="AL73" i="19"/>
  <c r="AK73" i="19"/>
  <c r="AL72" i="19"/>
  <c r="AJ72" i="19"/>
  <c r="AL71" i="19"/>
  <c r="AJ71" i="19"/>
  <c r="AM70" i="19"/>
  <c r="AJ70" i="19"/>
  <c r="AM69" i="19"/>
  <c r="AM68" i="19"/>
  <c r="AL68" i="19"/>
  <c r="AJ68" i="19"/>
  <c r="AM67" i="19"/>
  <c r="AL67" i="19"/>
  <c r="AM66" i="19"/>
  <c r="AL66" i="19"/>
  <c r="AK66" i="19"/>
  <c r="AL65" i="19"/>
  <c r="AJ65" i="19"/>
  <c r="AL64" i="19"/>
  <c r="AJ64" i="19"/>
  <c r="AM63" i="19"/>
  <c r="AJ63" i="19"/>
  <c r="AM62" i="19"/>
  <c r="AM61" i="19"/>
  <c r="AL61" i="19"/>
  <c r="AJ61" i="19"/>
  <c r="AM60" i="19"/>
  <c r="AL60" i="19"/>
  <c r="AM59" i="19"/>
  <c r="AL59" i="19"/>
  <c r="AK59" i="19"/>
  <c r="AL58" i="19"/>
  <c r="AJ58" i="19"/>
  <c r="AL57" i="19"/>
  <c r="AJ57" i="19"/>
  <c r="AM56" i="19"/>
  <c r="AJ56" i="19"/>
  <c r="AM55" i="19"/>
  <c r="AM54" i="19"/>
  <c r="AL54" i="19"/>
  <c r="AJ54" i="19"/>
  <c r="AM53" i="19"/>
  <c r="AL53" i="19"/>
  <c r="AM52" i="19"/>
  <c r="AL52" i="19"/>
  <c r="AK52" i="19"/>
  <c r="AL51" i="19"/>
  <c r="AJ51" i="19"/>
  <c r="AL50" i="19"/>
  <c r="AJ50" i="19"/>
  <c r="AM49" i="19"/>
  <c r="AJ49" i="19"/>
  <c r="AM48" i="19"/>
  <c r="AM47" i="19"/>
  <c r="AL47" i="19"/>
  <c r="AJ47" i="19"/>
  <c r="AM46" i="19"/>
  <c r="AL46" i="19"/>
  <c r="AM45" i="19"/>
  <c r="AL45" i="19"/>
  <c r="AK45" i="19"/>
  <c r="AL44" i="19"/>
  <c r="AJ44" i="19"/>
  <c r="AL43" i="19"/>
  <c r="AJ43" i="19"/>
  <c r="AM42" i="19"/>
  <c r="AJ42" i="19"/>
  <c r="AM41" i="19"/>
  <c r="AM40" i="19"/>
  <c r="AL40" i="19"/>
  <c r="AJ40" i="19"/>
  <c r="AM39" i="19"/>
  <c r="AL39" i="19"/>
  <c r="AM38" i="19"/>
  <c r="AL38" i="19"/>
  <c r="AK38" i="19"/>
  <c r="AW37" i="19"/>
  <c r="AU37" i="19"/>
  <c r="AL37" i="19"/>
  <c r="AJ37" i="19"/>
  <c r="AW36" i="19"/>
  <c r="AU36" i="19"/>
  <c r="AL36" i="19"/>
  <c r="AJ36" i="19"/>
  <c r="AX35" i="19"/>
  <c r="AU35" i="19"/>
  <c r="AM35" i="19"/>
  <c r="AJ35" i="19"/>
  <c r="AX34" i="19"/>
  <c r="AM34" i="19"/>
  <c r="AX33" i="19"/>
  <c r="AW33" i="19"/>
  <c r="AU33" i="19"/>
  <c r="AM33" i="19"/>
  <c r="AL33" i="19"/>
  <c r="AJ33" i="19"/>
  <c r="AX32" i="19"/>
  <c r="AW32" i="19"/>
  <c r="AM32" i="19"/>
  <c r="AL32" i="19"/>
  <c r="AX31" i="19"/>
  <c r="AW31" i="19"/>
  <c r="AV31" i="19"/>
  <c r="AM31" i="19"/>
  <c r="AL31" i="19"/>
  <c r="AK31" i="19"/>
  <c r="AW30" i="19"/>
  <c r="AU30" i="19"/>
  <c r="AL30" i="19"/>
  <c r="AJ30" i="19"/>
  <c r="AW29" i="19"/>
  <c r="AU29" i="19"/>
  <c r="AL29" i="19"/>
  <c r="AJ29" i="19"/>
  <c r="AX28" i="19"/>
  <c r="AU28" i="19"/>
  <c r="AM28" i="19"/>
  <c r="AJ28" i="19"/>
  <c r="AX27" i="19"/>
  <c r="AM27" i="19"/>
  <c r="AX26" i="19"/>
  <c r="AW26" i="19"/>
  <c r="AU26" i="19"/>
  <c r="AM26" i="19"/>
  <c r="AL26" i="19"/>
  <c r="AJ26" i="19"/>
  <c r="AX25" i="19"/>
  <c r="AW25" i="19"/>
  <c r="AM25" i="19"/>
  <c r="AL25" i="19"/>
  <c r="AX24" i="19"/>
  <c r="AW24" i="19"/>
  <c r="AV24" i="19"/>
  <c r="AM24" i="19"/>
  <c r="AL24" i="19"/>
  <c r="AK24" i="19"/>
  <c r="BT23" i="19"/>
  <c r="BT22" i="19"/>
  <c r="BT21" i="19"/>
  <c r="BI20" i="19"/>
  <c r="BA20" i="19"/>
  <c r="BI19" i="19"/>
  <c r="BA19" i="19"/>
  <c r="BI18" i="19"/>
  <c r="BA18" i="19"/>
  <c r="BI17" i="19"/>
  <c r="BA17" i="19"/>
  <c r="BI12" i="19"/>
  <c r="BA12" i="19"/>
  <c r="BI11" i="19"/>
  <c r="BA11" i="19"/>
  <c r="BI10" i="19"/>
  <c r="BA10" i="19"/>
  <c r="BI9" i="19"/>
  <c r="BA9" i="19"/>
  <c r="BL4" i="19"/>
  <c r="BK4" i="19"/>
  <c r="BJ4" i="19"/>
  <c r="BH4" i="19"/>
  <c r="BG4" i="19"/>
  <c r="BB4" i="19"/>
  <c r="AX4" i="19"/>
  <c r="AT4" i="19"/>
  <c r="BC4" i="19" s="1"/>
  <c r="AS4" i="19"/>
  <c r="AQ4" i="19"/>
  <c r="BI4" i="19" s="1"/>
  <c r="AP4" i="19"/>
  <c r="AO4" i="19"/>
  <c r="AK4" i="19"/>
  <c r="AJ4" i="19"/>
  <c r="AI4" i="19"/>
  <c r="BA4" i="19" s="1"/>
  <c r="AH4" i="19"/>
  <c r="AZ4" i="19" s="1"/>
  <c r="AG4" i="19"/>
  <c r="AY4" i="19" s="1"/>
  <c r="AF4" i="19"/>
  <c r="G102" i="4"/>
  <c r="W27" i="4"/>
  <c r="W30" i="4" l="1"/>
  <c r="Q56" i="4" s="1"/>
  <c r="L26" i="4"/>
  <c r="R57" i="6"/>
  <c r="R59" i="6" s="1"/>
  <c r="R52" i="6"/>
  <c r="R54" i="6" s="1"/>
  <c r="Q52" i="6"/>
  <c r="Q54" i="6" s="1"/>
  <c r="Q57" i="6"/>
  <c r="S52" i="6"/>
  <c r="S54" i="6" s="1"/>
  <c r="Q54" i="4" l="1"/>
  <c r="Q57" i="4" s="1"/>
  <c r="D32" i="4"/>
  <c r="Q59" i="6"/>
  <c r="R58" i="6"/>
  <c r="S53" i="6"/>
  <c r="J59" i="6" s="1"/>
  <c r="D39" i="6"/>
  <c r="D34" i="4" l="1"/>
  <c r="L111" i="4" s="1"/>
  <c r="D27" i="4"/>
  <c r="L105" i="4" s="1"/>
  <c r="D21" i="4"/>
  <c r="D17" i="4"/>
  <c r="L110" i="4"/>
  <c r="D25" i="4"/>
  <c r="L103" i="4" s="1"/>
  <c r="D24" i="4"/>
  <c r="D18" i="4"/>
  <c r="D31" i="4"/>
  <c r="L109" i="4" s="1"/>
  <c r="D19" i="4"/>
  <c r="D26" i="4"/>
  <c r="L104" i="4" s="1"/>
  <c r="D23" i="4"/>
  <c r="D33" i="4"/>
  <c r="D29" i="4"/>
  <c r="L107" i="4" s="1"/>
  <c r="D20" i="4"/>
  <c r="D28" i="4"/>
  <c r="L106" i="4" s="1"/>
  <c r="D30" i="4"/>
  <c r="L108" i="4" s="1"/>
  <c r="D22" i="4"/>
  <c r="J60" i="6"/>
  <c r="J61" i="6" s="1"/>
  <c r="R14" i="4"/>
  <c r="L4" i="40" l="1"/>
  <c r="L3" i="40"/>
  <c r="B94" i="19" l="1"/>
  <c r="C94" i="19" s="1"/>
  <c r="R28" i="19" s="1"/>
  <c r="C23" i="42"/>
  <c r="Q35" i="42" s="1"/>
  <c r="C23" i="41"/>
  <c r="C92" i="19"/>
  <c r="O54" i="19" s="1"/>
  <c r="AG54" i="19" s="1"/>
  <c r="C93" i="19"/>
  <c r="Q38" i="42" l="1"/>
  <c r="Q36" i="42"/>
  <c r="Q37" i="42"/>
  <c r="Q39" i="42"/>
  <c r="Q40" i="42"/>
  <c r="Q41" i="42"/>
  <c r="R39" i="41"/>
  <c r="R37" i="41"/>
  <c r="R41" i="41"/>
  <c r="R38" i="41"/>
  <c r="R40" i="41"/>
  <c r="R35" i="41"/>
  <c r="R36" i="41"/>
  <c r="O43" i="19"/>
  <c r="AG43" i="19" s="1"/>
  <c r="O39" i="19"/>
  <c r="AG39" i="19" s="1"/>
  <c r="O71" i="19"/>
  <c r="AG71" i="19" s="1"/>
  <c r="O27" i="19"/>
  <c r="AG27" i="19" s="1"/>
  <c r="O68" i="19"/>
  <c r="AG68" i="19" s="1"/>
  <c r="O79" i="19"/>
  <c r="AG79" i="19" s="1"/>
  <c r="O48" i="19"/>
  <c r="AG48" i="19" s="1"/>
  <c r="O67" i="19"/>
  <c r="AG67" i="19" s="1"/>
  <c r="O40" i="19"/>
  <c r="AG40" i="19" s="1"/>
  <c r="O56" i="19"/>
  <c r="AG56" i="19" s="1"/>
  <c r="O49" i="19"/>
  <c r="AG49" i="19" s="1"/>
  <c r="O34" i="19"/>
  <c r="AG34" i="19" s="1"/>
  <c r="O38" i="19"/>
  <c r="AG38" i="19" s="1"/>
  <c r="O73" i="19"/>
  <c r="AG73" i="19" s="1"/>
  <c r="O69" i="19"/>
  <c r="AG69" i="19" s="1"/>
  <c r="O37" i="19"/>
  <c r="AR37" i="19" s="1"/>
  <c r="O55" i="19"/>
  <c r="AG55" i="19" s="1"/>
  <c r="O63" i="19"/>
  <c r="AG63" i="19" s="1"/>
  <c r="O25" i="19"/>
  <c r="AG25" i="19" s="1"/>
  <c r="O77" i="19"/>
  <c r="AG77" i="19" s="1"/>
  <c r="O75" i="19"/>
  <c r="AG75" i="19" s="1"/>
  <c r="O74" i="19"/>
  <c r="AG74" i="19" s="1"/>
  <c r="O64" i="19"/>
  <c r="AG64" i="19" s="1"/>
  <c r="O33" i="19"/>
  <c r="AR33" i="19" s="1"/>
  <c r="O32" i="19"/>
  <c r="AG32" i="19" s="1"/>
  <c r="O66" i="19"/>
  <c r="AG66" i="19" s="1"/>
  <c r="O41" i="19"/>
  <c r="AG41" i="19" s="1"/>
  <c r="O72" i="19"/>
  <c r="AG72" i="19" s="1"/>
  <c r="O28" i="19"/>
  <c r="AG28" i="19" s="1"/>
  <c r="O51" i="19"/>
  <c r="AG51" i="19" s="1"/>
  <c r="O42" i="19"/>
  <c r="AG42" i="19" s="1"/>
  <c r="O45" i="19"/>
  <c r="AG45" i="19" s="1"/>
  <c r="O53" i="19"/>
  <c r="AG53" i="19" s="1"/>
  <c r="O61" i="19"/>
  <c r="AG61" i="19" s="1"/>
  <c r="O29" i="19"/>
  <c r="AR29" i="19" s="1"/>
  <c r="O57" i="19"/>
  <c r="AG57" i="19" s="1"/>
  <c r="O30" i="19"/>
  <c r="AR30" i="19" s="1"/>
  <c r="O52" i="19"/>
  <c r="AG52" i="19" s="1"/>
  <c r="O46" i="19"/>
  <c r="AG46" i="19" s="1"/>
  <c r="O50" i="19"/>
  <c r="AG50" i="19" s="1"/>
  <c r="O65" i="19"/>
  <c r="AG65" i="19" s="1"/>
  <c r="O58" i="19"/>
  <c r="AG58" i="19" s="1"/>
  <c r="O36" i="19"/>
  <c r="AR36" i="19" s="1"/>
  <c r="O44" i="19"/>
  <c r="AG44" i="19" s="1"/>
  <c r="O78" i="19"/>
  <c r="AG78" i="19" s="1"/>
  <c r="O62" i="19"/>
  <c r="AG62" i="19" s="1"/>
  <c r="O60" i="19"/>
  <c r="AG60" i="19" s="1"/>
  <c r="O70" i="19"/>
  <c r="AG70" i="19" s="1"/>
  <c r="O59" i="19"/>
  <c r="AG59" i="19" s="1"/>
  <c r="O26" i="19"/>
  <c r="AG26" i="19" s="1"/>
  <c r="O76" i="19"/>
  <c r="AG76" i="19" s="1"/>
  <c r="O31" i="19"/>
  <c r="AR31" i="19" s="1"/>
  <c r="O24" i="19"/>
  <c r="AR24" i="19" s="1"/>
  <c r="O47" i="19"/>
  <c r="AG47" i="19" s="1"/>
  <c r="O35" i="19"/>
  <c r="AR35" i="19" s="1"/>
  <c r="P66" i="19"/>
  <c r="AH66" i="19" s="1"/>
  <c r="R11" i="19"/>
  <c r="Q38" i="19"/>
  <c r="AI38" i="19" s="1"/>
  <c r="R30" i="19"/>
  <c r="Q46" i="19"/>
  <c r="AI46" i="19" s="1"/>
  <c r="P11" i="19"/>
  <c r="AH11" i="19" s="1"/>
  <c r="AZ11" i="19" s="1"/>
  <c r="Q41" i="19"/>
  <c r="AI41" i="19" s="1"/>
  <c r="S28" i="19"/>
  <c r="T28" i="19" s="1"/>
  <c r="Q28" i="19" s="1"/>
  <c r="AT28" i="19" s="1"/>
  <c r="P54" i="19"/>
  <c r="AH54" i="19" s="1"/>
  <c r="P57" i="19"/>
  <c r="AH57" i="19" s="1"/>
  <c r="P29" i="19"/>
  <c r="AH29" i="19" s="1"/>
  <c r="S9" i="19"/>
  <c r="S24" i="19"/>
  <c r="P63" i="19"/>
  <c r="AH63" i="19" s="1"/>
  <c r="Q77" i="19"/>
  <c r="AI77" i="19" s="1"/>
  <c r="P27" i="19"/>
  <c r="AH27" i="19" s="1"/>
  <c r="Q70" i="19"/>
  <c r="AI70" i="19" s="1"/>
  <c r="P56" i="19"/>
  <c r="AH56" i="19" s="1"/>
  <c r="R31" i="19"/>
  <c r="Q66" i="19"/>
  <c r="AI66" i="19" s="1"/>
  <c r="Q48" i="19"/>
  <c r="AI48" i="19" s="1"/>
  <c r="S32" i="19"/>
  <c r="S34" i="19"/>
  <c r="R17" i="19"/>
  <c r="R32" i="19"/>
  <c r="P31" i="19"/>
  <c r="AH31" i="19" s="1"/>
  <c r="Q69" i="19"/>
  <c r="AI69" i="19" s="1"/>
  <c r="Q51" i="19"/>
  <c r="AI51" i="19" s="1"/>
  <c r="P34" i="19"/>
  <c r="AH34" i="19" s="1"/>
  <c r="P17" i="19"/>
  <c r="AH17" i="19" s="1"/>
  <c r="AZ17" i="19" s="1"/>
  <c r="P20" i="19"/>
  <c r="AH20" i="19" s="1"/>
  <c r="AZ20" i="19" s="1"/>
  <c r="S27" i="19"/>
  <c r="Q39" i="19"/>
  <c r="AI39" i="19" s="1"/>
  <c r="P55" i="19"/>
  <c r="AH55" i="19" s="1"/>
  <c r="R24" i="19"/>
  <c r="Q44" i="19"/>
  <c r="AI44" i="19" s="1"/>
  <c r="P61" i="19"/>
  <c r="AH61" i="19" s="1"/>
  <c r="P60" i="19"/>
  <c r="AH60" i="19" s="1"/>
  <c r="Q45" i="19"/>
  <c r="AI45" i="19" s="1"/>
  <c r="Q71" i="19"/>
  <c r="AI71" i="19" s="1"/>
  <c r="Q43" i="19"/>
  <c r="AI43" i="19" s="1"/>
  <c r="P62" i="19"/>
  <c r="AH62" i="19" s="1"/>
  <c r="R10" i="19"/>
  <c r="P25" i="19"/>
  <c r="AH25" i="19" s="1"/>
  <c r="S12" i="19"/>
  <c r="R18" i="19"/>
  <c r="P18" i="19"/>
  <c r="AH18" i="19" s="1"/>
  <c r="AZ18" i="19" s="1"/>
  <c r="Q40" i="19"/>
  <c r="AI40" i="19" s="1"/>
  <c r="S33" i="19"/>
  <c r="R35" i="19"/>
  <c r="S29" i="19"/>
  <c r="P58" i="19"/>
  <c r="AH58" i="19" s="1"/>
  <c r="R27" i="19"/>
  <c r="P37" i="19"/>
  <c r="AH37" i="19" s="1"/>
  <c r="P65" i="19"/>
  <c r="AH65" i="19" s="1"/>
  <c r="R29" i="19"/>
  <c r="R33" i="19"/>
  <c r="Q76" i="19"/>
  <c r="AI76" i="19" s="1"/>
  <c r="R19" i="19"/>
  <c r="S31" i="19"/>
  <c r="R12" i="19"/>
  <c r="P12" i="19"/>
  <c r="AH12" i="19" s="1"/>
  <c r="AZ12" i="19" s="1"/>
  <c r="P33" i="19"/>
  <c r="AH33" i="19" s="1"/>
  <c r="P52" i="19"/>
  <c r="AH52" i="19" s="1"/>
  <c r="Q75" i="19"/>
  <c r="AI75" i="19" s="1"/>
  <c r="R20" i="19"/>
  <c r="S35" i="19"/>
  <c r="Q78" i="19"/>
  <c r="AI78" i="19" s="1"/>
  <c r="Q74" i="19"/>
  <c r="AI74" i="19" s="1"/>
  <c r="P24" i="19"/>
  <c r="AH24" i="19" s="1"/>
  <c r="Q50" i="19"/>
  <c r="AI50" i="19" s="1"/>
  <c r="Q67" i="19"/>
  <c r="AI67" i="19" s="1"/>
  <c r="P19" i="19"/>
  <c r="AH19" i="19" s="1"/>
  <c r="AZ19" i="19" s="1"/>
  <c r="S20" i="19"/>
  <c r="Q47" i="19"/>
  <c r="AI47" i="19" s="1"/>
  <c r="Q68" i="19"/>
  <c r="AI68" i="19" s="1"/>
  <c r="S19" i="19"/>
  <c r="S10" i="19"/>
  <c r="P32" i="19"/>
  <c r="AH32" i="19" s="1"/>
  <c r="P10" i="19"/>
  <c r="AH10" i="19" s="1"/>
  <c r="AZ10" i="19" s="1"/>
  <c r="R9" i="19"/>
  <c r="S26" i="19"/>
  <c r="Q79" i="19"/>
  <c r="AI79" i="19" s="1"/>
  <c r="S36" i="19"/>
  <c r="Q42" i="19"/>
  <c r="AI42" i="19" s="1"/>
  <c r="Q72" i="19"/>
  <c r="AI72" i="19" s="1"/>
  <c r="R36" i="19"/>
  <c r="R25" i="19"/>
  <c r="R34" i="19"/>
  <c r="P36" i="19"/>
  <c r="AH36" i="19" s="1"/>
  <c r="P59" i="19"/>
  <c r="AH59" i="19" s="1"/>
  <c r="P26" i="19"/>
  <c r="AH26" i="19" s="1"/>
  <c r="R26" i="19"/>
  <c r="P35" i="19"/>
  <c r="AH35" i="19" s="1"/>
  <c r="S37" i="19"/>
  <c r="P64" i="19"/>
  <c r="AH64" i="19" s="1"/>
  <c r="S25" i="19"/>
  <c r="P28" i="19"/>
  <c r="AH28" i="19" s="1"/>
  <c r="R37" i="19"/>
  <c r="P53" i="19"/>
  <c r="AH53" i="19" s="1"/>
  <c r="Q73" i="19"/>
  <c r="AI73" i="19" s="1"/>
  <c r="P30" i="19"/>
  <c r="AH30" i="19" s="1"/>
  <c r="P9" i="19"/>
  <c r="AH9" i="19" s="1"/>
  <c r="AZ9" i="19" s="1"/>
  <c r="S30" i="19"/>
  <c r="S18" i="19"/>
  <c r="S11" i="19"/>
  <c r="Q49" i="19"/>
  <c r="AI49" i="19" s="1"/>
  <c r="S17" i="19"/>
  <c r="P78" i="19"/>
  <c r="AH78" i="19" s="1"/>
  <c r="P42" i="19"/>
  <c r="AH42" i="19" s="1"/>
  <c r="P40" i="19"/>
  <c r="AH40" i="19" s="1"/>
  <c r="P72" i="19"/>
  <c r="AH72" i="19" s="1"/>
  <c r="P50" i="19"/>
  <c r="AH50" i="19" s="1"/>
  <c r="P38" i="19"/>
  <c r="AH38" i="19" s="1"/>
  <c r="P74" i="19"/>
  <c r="AH74" i="19" s="1"/>
  <c r="P46" i="19"/>
  <c r="AH46" i="19" s="1"/>
  <c r="P76" i="19"/>
  <c r="AH76" i="19" s="1"/>
  <c r="P69" i="19"/>
  <c r="AH69" i="19" s="1"/>
  <c r="P71" i="19"/>
  <c r="AH71" i="19" s="1"/>
  <c r="P73" i="19"/>
  <c r="AH73" i="19" s="1"/>
  <c r="P70" i="19"/>
  <c r="AH70" i="19" s="1"/>
  <c r="P48" i="19"/>
  <c r="AH48" i="19" s="1"/>
  <c r="P68" i="19"/>
  <c r="AH68" i="19" s="1"/>
  <c r="P41" i="19"/>
  <c r="AH41" i="19" s="1"/>
  <c r="P44" i="19"/>
  <c r="AH44" i="19" s="1"/>
  <c r="P75" i="19"/>
  <c r="AH75" i="19" s="1"/>
  <c r="P77" i="19"/>
  <c r="AH77" i="19" s="1"/>
  <c r="P67" i="19"/>
  <c r="AH67" i="19" s="1"/>
  <c r="P47" i="19"/>
  <c r="AH47" i="19" s="1"/>
  <c r="P49" i="19"/>
  <c r="AH49" i="19" s="1"/>
  <c r="P51" i="19"/>
  <c r="AH51" i="19" s="1"/>
  <c r="P39" i="19"/>
  <c r="AH39" i="19" s="1"/>
  <c r="P43" i="19"/>
  <c r="AH43" i="19" s="1"/>
  <c r="P45" i="19"/>
  <c r="AH45" i="19" s="1"/>
  <c r="P79" i="19"/>
  <c r="AH79" i="19" s="1"/>
  <c r="T11" i="19" l="1"/>
  <c r="Q11" i="19" s="1"/>
  <c r="AR11" i="19" s="1"/>
  <c r="BJ11" i="19" s="1"/>
  <c r="T33" i="19"/>
  <c r="Q33" i="19" s="1"/>
  <c r="AT33" i="19" s="1"/>
  <c r="AG37" i="19"/>
  <c r="AR26" i="19"/>
  <c r="AR28" i="19"/>
  <c r="AR32" i="19"/>
  <c r="AG30" i="19"/>
  <c r="AG24" i="19"/>
  <c r="AR34" i="19"/>
  <c r="AR27" i="19"/>
  <c r="AG31" i="19"/>
  <c r="AG33" i="19"/>
  <c r="AR25" i="19"/>
  <c r="AG36" i="19"/>
  <c r="AG29" i="19"/>
  <c r="AG35" i="19"/>
  <c r="T9" i="19"/>
  <c r="Q9" i="19" s="1"/>
  <c r="AR9" i="19" s="1"/>
  <c r="BJ9" i="19" s="1"/>
  <c r="T26" i="19"/>
  <c r="Q26" i="19" s="1"/>
  <c r="AT26" i="19" s="1"/>
  <c r="T31" i="19"/>
  <c r="Q31" i="19" s="1"/>
  <c r="AT31" i="19" s="1"/>
  <c r="T32" i="19"/>
  <c r="Q32" i="19" s="1"/>
  <c r="AT32" i="19" s="1"/>
  <c r="T30" i="19"/>
  <c r="Q30" i="19" s="1"/>
  <c r="AT30" i="19" s="1"/>
  <c r="T20" i="19"/>
  <c r="Q20" i="19" s="1"/>
  <c r="AR20" i="19" s="1"/>
  <c r="BJ20" i="19" s="1"/>
  <c r="T17" i="19"/>
  <c r="Q17" i="19" s="1"/>
  <c r="AR17" i="19" s="1"/>
  <c r="BJ17" i="19" s="1"/>
  <c r="T34" i="19"/>
  <c r="Q34" i="19" s="1"/>
  <c r="AT34" i="19" s="1"/>
  <c r="T10" i="19"/>
  <c r="Q10" i="19" s="1"/>
  <c r="AR10" i="19" s="1"/>
  <c r="BJ10" i="19" s="1"/>
  <c r="T24" i="19"/>
  <c r="Q24" i="19" s="1"/>
  <c r="AT24" i="19" s="1"/>
  <c r="T12" i="19"/>
  <c r="Q12" i="19" s="1"/>
  <c r="AR12" i="19" s="1"/>
  <c r="BJ12" i="19" s="1"/>
  <c r="T37" i="19"/>
  <c r="Q37" i="19" s="1"/>
  <c r="AT37" i="19" s="1"/>
  <c r="T18" i="19"/>
  <c r="Q18" i="19" s="1"/>
  <c r="AR18" i="19" s="1"/>
  <c r="BJ18" i="19" s="1"/>
  <c r="T27" i="19"/>
  <c r="Q27" i="19" s="1"/>
  <c r="AT27" i="19" s="1"/>
  <c r="T19" i="19"/>
  <c r="Q19" i="19" s="1"/>
  <c r="AR19" i="19" s="1"/>
  <c r="BJ19" i="19" s="1"/>
  <c r="T29" i="19"/>
  <c r="Q29" i="19" s="1"/>
  <c r="AT29" i="19" s="1"/>
  <c r="T25" i="19"/>
  <c r="Q25" i="19" s="1"/>
  <c r="AT25" i="19" s="1"/>
  <c r="T36" i="19"/>
  <c r="Q36" i="19" s="1"/>
  <c r="AT36" i="19" s="1"/>
  <c r="T35" i="19"/>
  <c r="Q35" i="19" s="1"/>
  <c r="AT35" i="19" s="1"/>
  <c r="E17" i="4" l="1"/>
  <c r="F17" i="4" l="1"/>
  <c r="E18" i="4"/>
  <c r="F18" i="4" l="1"/>
  <c r="E19" i="4"/>
  <c r="E20" i="4" l="1"/>
  <c r="F19" i="4"/>
  <c r="E21" i="4" l="1"/>
  <c r="F20" i="4"/>
  <c r="E22" i="4" l="1"/>
  <c r="F21" i="4"/>
  <c r="E23" i="4" l="1"/>
  <c r="T70" i="4" l="1"/>
  <c r="F94" i="4"/>
  <c r="E24" i="4"/>
  <c r="G94" i="4"/>
  <c r="E25" i="4" l="1"/>
  <c r="U70" i="4" l="1"/>
  <c r="H94" i="4"/>
  <c r="V70" i="4"/>
  <c r="I94" i="4"/>
  <c r="L39" i="4"/>
  <c r="C4" i="42"/>
  <c r="D4" i="42" s="1"/>
  <c r="C4" i="41"/>
  <c r="E26" i="4"/>
  <c r="C5" i="42" l="1"/>
  <c r="D5" i="42" s="1"/>
  <c r="X4" i="42" s="1"/>
  <c r="C5" i="41"/>
  <c r="D5" i="41" s="1"/>
  <c r="D4" i="41"/>
  <c r="W32" i="42"/>
  <c r="X32" i="42"/>
  <c r="M103" i="4"/>
  <c r="E27" i="4"/>
  <c r="F27" i="4" s="1"/>
  <c r="K94" i="4" s="1"/>
  <c r="F26" i="4"/>
  <c r="J94" i="4" s="1"/>
  <c r="C6" i="42" l="1"/>
  <c r="D6" i="42" s="1"/>
  <c r="W4" i="42"/>
  <c r="W33" i="42"/>
  <c r="C6" i="41"/>
  <c r="E4" i="41"/>
  <c r="F5" i="41"/>
  <c r="F4" i="41"/>
  <c r="Z4" i="41"/>
  <c r="Y4" i="41"/>
  <c r="X4" i="41"/>
  <c r="Y4" i="42"/>
  <c r="X33" i="42"/>
  <c r="U9" i="42" s="1"/>
  <c r="E5" i="41"/>
  <c r="M104" i="4"/>
  <c r="K138" i="4"/>
  <c r="AA104" i="4"/>
  <c r="AB104" i="4"/>
  <c r="AC104" i="4"/>
  <c r="E28" i="4"/>
  <c r="W70" i="4"/>
  <c r="C7" i="41" l="1"/>
  <c r="D7" i="41" s="1"/>
  <c r="V9" i="41"/>
  <c r="W34" i="42"/>
  <c r="X5" i="42"/>
  <c r="W5" i="42"/>
  <c r="C7" i="42"/>
  <c r="D7" i="42" s="1"/>
  <c r="X35" i="42" s="1"/>
  <c r="Y5" i="42"/>
  <c r="D6" i="41"/>
  <c r="X34" i="42"/>
  <c r="M105" i="4"/>
  <c r="K137" i="4"/>
  <c r="K139" i="4"/>
  <c r="E29" i="4"/>
  <c r="E30" i="4" s="1"/>
  <c r="F28" i="4"/>
  <c r="AB105" i="4"/>
  <c r="AC105" i="4"/>
  <c r="AA105" i="4"/>
  <c r="E31" i="4" l="1"/>
  <c r="X70" i="4"/>
  <c r="L94" i="4"/>
  <c r="Y6" i="42"/>
  <c r="Y6" i="41"/>
  <c r="X6" i="41"/>
  <c r="F7" i="41"/>
  <c r="Z6" i="41"/>
  <c r="E6" i="41"/>
  <c r="Z5" i="41"/>
  <c r="Y5" i="41"/>
  <c r="F6" i="41"/>
  <c r="X5" i="41"/>
  <c r="C8" i="42"/>
  <c r="D8" i="42" s="1"/>
  <c r="X36" i="42" s="1"/>
  <c r="C8" i="41"/>
  <c r="E7" i="41"/>
  <c r="W35" i="42"/>
  <c r="W6" i="42"/>
  <c r="X6" i="42"/>
  <c r="M106" i="4"/>
  <c r="K136" i="4"/>
  <c r="AB106" i="4"/>
  <c r="AC106" i="4"/>
  <c r="AA106" i="4"/>
  <c r="F29" i="4"/>
  <c r="M94" i="4" s="1"/>
  <c r="E32" i="4" l="1"/>
  <c r="C9" i="41"/>
  <c r="D9" i="41" s="1"/>
  <c r="Y7" i="42"/>
  <c r="W7" i="42"/>
  <c r="X7" i="42"/>
  <c r="C9" i="42"/>
  <c r="D9" i="42" s="1"/>
  <c r="Y8" i="42" s="1"/>
  <c r="W58" i="4"/>
  <c r="D8" i="41"/>
  <c r="W36" i="42"/>
  <c r="M107" i="4"/>
  <c r="K135" i="4"/>
  <c r="F30" i="4"/>
  <c r="AB107" i="4"/>
  <c r="AA107" i="4"/>
  <c r="AC107" i="4"/>
  <c r="E33" i="4" l="1"/>
  <c r="F33" i="4" s="1"/>
  <c r="E34" i="4"/>
  <c r="S56" i="4" s="1"/>
  <c r="Y70" i="4"/>
  <c r="N94" i="4"/>
  <c r="X37" i="42"/>
  <c r="X8" i="42"/>
  <c r="E8" i="41"/>
  <c r="X8" i="41"/>
  <c r="Y8" i="41"/>
  <c r="F9" i="41"/>
  <c r="Z8" i="41"/>
  <c r="Y7" i="41"/>
  <c r="Z7" i="41"/>
  <c r="X7" i="41"/>
  <c r="F8" i="41"/>
  <c r="W37" i="42"/>
  <c r="W8" i="42"/>
  <c r="C10" i="42"/>
  <c r="D10" i="42" s="1"/>
  <c r="X38" i="42" s="1"/>
  <c r="C10" i="41"/>
  <c r="E9" i="41"/>
  <c r="M108" i="4"/>
  <c r="K134" i="4"/>
  <c r="AC108" i="4"/>
  <c r="AA108" i="4"/>
  <c r="AB108" i="4"/>
  <c r="F31" i="4"/>
  <c r="O94" i="4" s="1"/>
  <c r="F34" i="4" l="1"/>
  <c r="K133" i="4"/>
  <c r="C11" i="42"/>
  <c r="D11" i="42" s="1"/>
  <c r="W10" i="42" s="1"/>
  <c r="C11" i="41"/>
  <c r="D11" i="41" s="1"/>
  <c r="Y9" i="42"/>
  <c r="W9" i="42"/>
  <c r="D10" i="41"/>
  <c r="W38" i="42"/>
  <c r="X9" i="42"/>
  <c r="M109" i="4"/>
  <c r="F32" i="4"/>
  <c r="AC109" i="4"/>
  <c r="AB109" i="4"/>
  <c r="AA109" i="4"/>
  <c r="W59" i="4" l="1"/>
  <c r="AK70" i="4"/>
  <c r="D46" i="4"/>
  <c r="L40" i="4"/>
  <c r="AI94" i="4"/>
  <c r="D41" i="4"/>
  <c r="D36" i="4"/>
  <c r="D35" i="4"/>
  <c r="C14" i="41"/>
  <c r="D14" i="41" s="1"/>
  <c r="E14" i="41" s="1"/>
  <c r="D42" i="4"/>
  <c r="B88" i="19"/>
  <c r="B84" i="19" s="1"/>
  <c r="C4" i="40"/>
  <c r="D45" i="4"/>
  <c r="K131" i="4"/>
  <c r="D38" i="4"/>
  <c r="C14" i="42"/>
  <c r="D14" i="42" s="1"/>
  <c r="X22" i="42" s="1"/>
  <c r="D47" i="4"/>
  <c r="D40" i="4"/>
  <c r="Q94" i="4"/>
  <c r="T58" i="4"/>
  <c r="AA70" i="4"/>
  <c r="Z70" i="4"/>
  <c r="P94" i="4"/>
  <c r="B87" i="19"/>
  <c r="C87" i="19" s="1"/>
  <c r="X39" i="42"/>
  <c r="X10" i="42"/>
  <c r="Y10" i="42"/>
  <c r="Z10" i="41"/>
  <c r="X10" i="41"/>
  <c r="Y10" i="41"/>
  <c r="F11" i="41"/>
  <c r="E10" i="41"/>
  <c r="Y9" i="41"/>
  <c r="Z9" i="41"/>
  <c r="F10" i="41"/>
  <c r="X9" i="41"/>
  <c r="C12" i="42"/>
  <c r="D12" i="42" s="1"/>
  <c r="X40" i="42" s="1"/>
  <c r="C12" i="41"/>
  <c r="E11" i="41"/>
  <c r="W39" i="42"/>
  <c r="M110" i="4"/>
  <c r="K132" i="4"/>
  <c r="AC110" i="4"/>
  <c r="AA110" i="4"/>
  <c r="AB110" i="4"/>
  <c r="B89" i="19" l="1"/>
  <c r="E25" i="41"/>
  <c r="W42" i="42"/>
  <c r="Y11" i="42"/>
  <c r="W11" i="42"/>
  <c r="X11" i="42"/>
  <c r="D12" i="41"/>
  <c r="W40" i="42"/>
  <c r="C13" i="42"/>
  <c r="D13" i="42" s="1"/>
  <c r="Y12" i="42" s="1"/>
  <c r="C13" i="41"/>
  <c r="D13" i="41" s="1"/>
  <c r="M111" i="4"/>
  <c r="L118" i="4"/>
  <c r="AA111" i="4"/>
  <c r="AB111" i="4"/>
  <c r="AC111" i="4"/>
  <c r="X41" i="42" l="1"/>
  <c r="W12" i="42"/>
  <c r="E13" i="41"/>
  <c r="F14" i="41"/>
  <c r="Z13" i="41"/>
  <c r="X13" i="41"/>
  <c r="Y13" i="41"/>
  <c r="W41" i="42"/>
  <c r="X13" i="42"/>
  <c r="W13" i="42"/>
  <c r="Y13" i="42"/>
  <c r="X42" i="42"/>
  <c r="X12" i="42"/>
  <c r="Y12" i="41"/>
  <c r="Z12" i="41"/>
  <c r="X12" i="41"/>
  <c r="F13" i="41"/>
  <c r="E12" i="41"/>
  <c r="X11" i="41"/>
  <c r="Y11" i="41"/>
  <c r="F12" i="41"/>
  <c r="Z11" i="41"/>
  <c r="L112" i="4"/>
  <c r="L113" i="4"/>
  <c r="D39" i="4"/>
  <c r="L117" i="4"/>
  <c r="D37" i="4"/>
  <c r="D43" i="4"/>
  <c r="L114" i="4"/>
  <c r="L115" i="4"/>
  <c r="D44" i="4"/>
  <c r="L116" i="4" s="1"/>
  <c r="C89" i="19" l="1"/>
  <c r="AA112" i="4"/>
  <c r="AB112" i="4"/>
  <c r="AC112" i="4"/>
  <c r="E35" i="4"/>
  <c r="F35" i="4" s="1"/>
  <c r="C84" i="19"/>
  <c r="C88" i="19"/>
  <c r="BD94" i="4" l="1"/>
  <c r="AB70" i="4"/>
  <c r="R94" i="4"/>
  <c r="K130" i="4"/>
  <c r="AC27" i="19"/>
  <c r="AC34" i="19"/>
  <c r="AC62" i="19"/>
  <c r="AL62" i="19" s="1"/>
  <c r="AC77" i="19"/>
  <c r="AL77" i="19" s="1"/>
  <c r="AC70" i="19"/>
  <c r="AL70" i="19" s="1"/>
  <c r="AC28" i="19"/>
  <c r="AC41" i="19"/>
  <c r="AL41" i="19" s="1"/>
  <c r="AC35" i="19"/>
  <c r="AC48" i="19"/>
  <c r="AL48" i="19" s="1"/>
  <c r="AC55" i="19"/>
  <c r="AL55" i="19" s="1"/>
  <c r="AC56" i="19"/>
  <c r="AL56" i="19" s="1"/>
  <c r="AC69" i="19"/>
  <c r="AL69" i="19" s="1"/>
  <c r="AC42" i="19"/>
  <c r="AL42" i="19" s="1"/>
  <c r="AC63" i="19"/>
  <c r="AL63" i="19" s="1"/>
  <c r="AC49" i="19"/>
  <c r="AL49" i="19" s="1"/>
  <c r="AC76" i="19"/>
  <c r="AL76" i="19" s="1"/>
  <c r="E36" i="4"/>
  <c r="AY94" i="4" l="1"/>
  <c r="BE94" i="4"/>
  <c r="E37" i="4"/>
  <c r="F36" i="4"/>
  <c r="S94" i="4" s="1"/>
  <c r="AL28" i="19"/>
  <c r="AW28" i="19"/>
  <c r="AW34" i="19"/>
  <c r="AL34" i="19"/>
  <c r="AL27" i="19"/>
  <c r="AW27" i="19"/>
  <c r="AW35" i="19"/>
  <c r="AL35" i="19"/>
  <c r="BI94" i="4" l="1"/>
  <c r="BA94" i="4"/>
  <c r="AZ94" i="4"/>
  <c r="P6" i="38"/>
  <c r="C15" i="42"/>
  <c r="D15" i="42" s="1"/>
  <c r="C15" i="41"/>
  <c r="W60" i="4"/>
  <c r="M112" i="4"/>
  <c r="K129" i="4"/>
  <c r="E38" i="4"/>
  <c r="F37" i="4"/>
  <c r="T94" i="4" s="1"/>
  <c r="AR70" i="4" l="1"/>
  <c r="BJ94" i="4"/>
  <c r="BF94" i="4"/>
  <c r="BB94" i="4"/>
  <c r="K128" i="4"/>
  <c r="C16" i="42"/>
  <c r="D16" i="42" s="1"/>
  <c r="X44" i="42" s="1"/>
  <c r="C16" i="41"/>
  <c r="D16" i="41" s="1"/>
  <c r="D15" i="41"/>
  <c r="W43" i="42"/>
  <c r="X14" i="42"/>
  <c r="X43" i="42"/>
  <c r="Y14" i="42"/>
  <c r="W14" i="42"/>
  <c r="F38" i="4"/>
  <c r="U94" i="4" s="1"/>
  <c r="AA113" i="4"/>
  <c r="AB113" i="4"/>
  <c r="AC113" i="4"/>
  <c r="AQ70" i="4" l="1"/>
  <c r="BH94" i="4"/>
  <c r="BG94" i="4"/>
  <c r="Y15" i="42"/>
  <c r="W15" i="42"/>
  <c r="X15" i="42"/>
  <c r="E15" i="41"/>
  <c r="Y15" i="41"/>
  <c r="F16" i="41"/>
  <c r="Z15" i="41"/>
  <c r="X15" i="41"/>
  <c r="Z14" i="41"/>
  <c r="Y14" i="41"/>
  <c r="X14" i="41"/>
  <c r="F15" i="41"/>
  <c r="E16" i="41"/>
  <c r="W44" i="42"/>
  <c r="M113" i="4"/>
  <c r="K127" i="4"/>
  <c r="F39" i="4"/>
  <c r="V94" i="4" s="1"/>
  <c r="BC94" i="4" l="1"/>
  <c r="K126" i="4"/>
  <c r="F40" i="4"/>
  <c r="E66" i="6"/>
  <c r="AC114" i="4"/>
  <c r="AB114" i="4"/>
  <c r="AA114" i="4"/>
  <c r="AC70" i="4" l="1"/>
  <c r="W94" i="4"/>
  <c r="P7" i="38"/>
  <c r="C17" i="42"/>
  <c r="D17" i="42" s="1"/>
  <c r="C17" i="41"/>
  <c r="M114" i="4"/>
  <c r="K125" i="4"/>
  <c r="W61" i="4"/>
  <c r="F41" i="4"/>
  <c r="X94" i="4" s="1"/>
  <c r="D17" i="41" l="1"/>
  <c r="W45" i="42"/>
  <c r="Y16" i="42"/>
  <c r="X45" i="42"/>
  <c r="X16" i="42"/>
  <c r="W16" i="42"/>
  <c r="K124" i="4"/>
  <c r="M115" i="4"/>
  <c r="AB115" i="4"/>
  <c r="AA115" i="4"/>
  <c r="AC115" i="4"/>
  <c r="F43" i="4"/>
  <c r="Z94" i="4" s="1"/>
  <c r="F42" i="4"/>
  <c r="Y94" i="4" s="1"/>
  <c r="K123" i="4" l="1"/>
  <c r="E17" i="41"/>
  <c r="F17" i="41"/>
  <c r="Y16" i="41"/>
  <c r="X16" i="41"/>
  <c r="Z16" i="41"/>
  <c r="E45" i="4"/>
  <c r="F45" i="4" s="1"/>
  <c r="AC116" i="4" l="1"/>
  <c r="AB116" i="4"/>
  <c r="AA116" i="4"/>
  <c r="F44" i="4"/>
  <c r="AA94" i="4" s="1"/>
  <c r="C18" i="42" l="1"/>
  <c r="D18" i="42" s="1"/>
  <c r="C18" i="41"/>
  <c r="M116" i="4"/>
  <c r="K122" i="4"/>
  <c r="AD70" i="4" l="1"/>
  <c r="T64" i="4"/>
  <c r="D18" i="41"/>
  <c r="W46" i="42"/>
  <c r="X46" i="42"/>
  <c r="Y17" i="42"/>
  <c r="X17" i="42"/>
  <c r="W17" i="42"/>
  <c r="AA117" i="4"/>
  <c r="AB117" i="4"/>
  <c r="AC117" i="4"/>
  <c r="AB94" i="4" l="1"/>
  <c r="T63" i="4"/>
  <c r="L42" i="4"/>
  <c r="L41" i="4"/>
  <c r="Q131" i="4"/>
  <c r="P131" i="4" s="1"/>
  <c r="P8" i="38"/>
  <c r="T4" i="38" s="1"/>
  <c r="W62" i="4"/>
  <c r="C19" i="41"/>
  <c r="D19" i="41" s="1"/>
  <c r="R18" i="41" s="1"/>
  <c r="B90" i="19"/>
  <c r="B86" i="19" s="1"/>
  <c r="T60" i="4"/>
  <c r="C19" i="42"/>
  <c r="D19" i="42" s="1"/>
  <c r="W18" i="42" s="1"/>
  <c r="W19" i="42" s="1"/>
  <c r="W20" i="42" s="1"/>
  <c r="X24" i="42" s="1"/>
  <c r="C3" i="40"/>
  <c r="L11" i="40" s="1"/>
  <c r="W63" i="4"/>
  <c r="M118" i="4"/>
  <c r="E18" i="41"/>
  <c r="Y17" i="41"/>
  <c r="X17" i="41"/>
  <c r="F18" i="41"/>
  <c r="Z17" i="41"/>
  <c r="K121" i="4"/>
  <c r="J141" i="4" s="1"/>
  <c r="M117" i="4"/>
  <c r="L43" i="4" l="1"/>
  <c r="L141" i="4"/>
  <c r="M141" i="4" s="1"/>
  <c r="K141" i="4"/>
  <c r="J143" i="4"/>
  <c r="K143" i="4" s="1"/>
  <c r="J142" i="4"/>
  <c r="P48" i="41"/>
  <c r="Q48" i="41" s="1"/>
  <c r="R12" i="41"/>
  <c r="Q34" i="41"/>
  <c r="Q5" i="41"/>
  <c r="R17" i="41"/>
  <c r="Z18" i="41"/>
  <c r="Z19" i="41" s="1"/>
  <c r="Z20" i="41" s="1"/>
  <c r="E29" i="41" s="1"/>
  <c r="N46" i="41"/>
  <c r="N47" i="41" s="1"/>
  <c r="M15" i="40"/>
  <c r="L15" i="40"/>
  <c r="X18" i="41"/>
  <c r="X19" i="41" s="1"/>
  <c r="X20" i="41" s="1"/>
  <c r="E27" i="41" s="1"/>
  <c r="R25" i="41"/>
  <c r="E26" i="41"/>
  <c r="N9" i="41" s="1"/>
  <c r="Q7" i="41"/>
  <c r="L19" i="40"/>
  <c r="Q19" i="40" s="1"/>
  <c r="R31" i="41"/>
  <c r="Q6" i="41"/>
  <c r="Q8" i="41"/>
  <c r="L17" i="40"/>
  <c r="Q17" i="40" s="1"/>
  <c r="Y18" i="41"/>
  <c r="Y19" i="41" s="1"/>
  <c r="Y20" i="41" s="1"/>
  <c r="E28" i="41" s="1"/>
  <c r="P57" i="41"/>
  <c r="P58" i="41" s="1"/>
  <c r="M11" i="40"/>
  <c r="Q11" i="40" s="1"/>
  <c r="R26" i="41"/>
  <c r="R24" i="41"/>
  <c r="N55" i="41"/>
  <c r="N56" i="41" s="1"/>
  <c r="R29" i="41"/>
  <c r="L12" i="40"/>
  <c r="Q12" i="40" s="1"/>
  <c r="L20" i="40"/>
  <c r="P20" i="40" s="1"/>
  <c r="F19" i="41"/>
  <c r="R19" i="41"/>
  <c r="E19" i="41"/>
  <c r="R30" i="41"/>
  <c r="R14" i="41"/>
  <c r="R13" i="41"/>
  <c r="L23" i="40"/>
  <c r="P23" i="40" s="1"/>
  <c r="L22" i="40"/>
  <c r="Q22" i="40" s="1"/>
  <c r="L18" i="40"/>
  <c r="Q18" i="40" s="1"/>
  <c r="L16" i="40"/>
  <c r="Q16" i="40" s="1"/>
  <c r="L21" i="40"/>
  <c r="Q21" i="40" s="1"/>
  <c r="Q26" i="42"/>
  <c r="Q24" i="42"/>
  <c r="P34" i="42"/>
  <c r="Q13" i="42"/>
  <c r="Q25" i="42"/>
  <c r="Q18" i="42"/>
  <c r="P6" i="42"/>
  <c r="Q14" i="42"/>
  <c r="Y18" i="42"/>
  <c r="Y19" i="42" s="1"/>
  <c r="Y20" i="42" s="1"/>
  <c r="X26" i="42" s="1"/>
  <c r="I6" i="42" s="1"/>
  <c r="P5" i="42"/>
  <c r="B91" i="19"/>
  <c r="C91" i="19" s="1"/>
  <c r="P8" i="42"/>
  <c r="Q17" i="42"/>
  <c r="X23" i="42"/>
  <c r="M35" i="42" s="1"/>
  <c r="Q30" i="42"/>
  <c r="Q12" i="42"/>
  <c r="X18" i="42"/>
  <c r="X19" i="42" s="1"/>
  <c r="X20" i="42" s="1"/>
  <c r="X25" i="42" s="1"/>
  <c r="I5" i="42" s="1"/>
  <c r="Q29" i="42"/>
  <c r="P7" i="42"/>
  <c r="W47" i="42"/>
  <c r="N21" i="42" s="1"/>
  <c r="Q19" i="42"/>
  <c r="Q31" i="42"/>
  <c r="X47" i="42"/>
  <c r="B83" i="19"/>
  <c r="B85" i="19"/>
  <c r="B82" i="19" s="1"/>
  <c r="I4" i="42"/>
  <c r="C90" i="19"/>
  <c r="N6" i="19" s="1"/>
  <c r="T7" i="38"/>
  <c r="T9" i="38" s="1"/>
  <c r="T10" i="38" s="1"/>
  <c r="T6" i="38"/>
  <c r="T8" i="38" s="1"/>
  <c r="T5" i="38"/>
  <c r="AB118" i="4"/>
  <c r="AB119" i="4" s="1"/>
  <c r="Q105" i="4" s="1"/>
  <c r="AC118" i="4"/>
  <c r="AC119" i="4" s="1"/>
  <c r="AA118" i="4"/>
  <c r="AA119" i="4" s="1"/>
  <c r="O141" i="4" l="1"/>
  <c r="L143" i="4"/>
  <c r="M143" i="4" s="1"/>
  <c r="O143" i="4" s="1"/>
  <c r="P49" i="41"/>
  <c r="Q49" i="41" s="1"/>
  <c r="Q20" i="40"/>
  <c r="X28" i="42"/>
  <c r="I8" i="42" s="1"/>
  <c r="Q23" i="40"/>
  <c r="K142" i="4"/>
  <c r="L142" i="4"/>
  <c r="M142" i="4" s="1"/>
  <c r="P22" i="40"/>
  <c r="N21" i="41"/>
  <c r="Q57" i="41"/>
  <c r="N63" i="41"/>
  <c r="AK10" i="4" s="1"/>
  <c r="N35" i="41"/>
  <c r="S39" i="41" s="1"/>
  <c r="T39" i="41" s="1"/>
  <c r="U39" i="41" s="1"/>
  <c r="N64" i="41"/>
  <c r="I25" i="41" s="1"/>
  <c r="V36" i="41"/>
  <c r="N42" i="41"/>
  <c r="B73" i="41" s="1"/>
  <c r="Q15" i="40"/>
  <c r="P15" i="40"/>
  <c r="P12" i="40"/>
  <c r="P17" i="40"/>
  <c r="P21" i="40"/>
  <c r="P19" i="40"/>
  <c r="O9" i="41"/>
  <c r="P9" i="41" s="1"/>
  <c r="Q9" i="41" s="1"/>
  <c r="S13" i="41" s="1"/>
  <c r="T13" i="41" s="1"/>
  <c r="U13" i="41" s="1"/>
  <c r="O21" i="41"/>
  <c r="V35" i="41"/>
  <c r="P11" i="40"/>
  <c r="M42" i="42"/>
  <c r="F18" i="42" s="1"/>
  <c r="P18" i="40"/>
  <c r="P16" i="40"/>
  <c r="U35" i="42"/>
  <c r="N9" i="42"/>
  <c r="M9" i="42"/>
  <c r="M21" i="42"/>
  <c r="O21" i="42" s="1"/>
  <c r="P21" i="42" s="1"/>
  <c r="X27" i="42"/>
  <c r="U36" i="42"/>
  <c r="E31" i="41"/>
  <c r="R36" i="42"/>
  <c r="S36" i="42" s="1"/>
  <c r="T36" i="42" s="1"/>
  <c r="R41" i="42"/>
  <c r="S41" i="42" s="1"/>
  <c r="T41" i="42" s="1"/>
  <c r="R40" i="42"/>
  <c r="S40" i="42" s="1"/>
  <c r="T40" i="42" s="1"/>
  <c r="R38" i="42"/>
  <c r="S38" i="42" s="1"/>
  <c r="R35" i="42"/>
  <c r="S35" i="42" s="1"/>
  <c r="R37" i="42"/>
  <c r="S37" i="42" s="1"/>
  <c r="T37" i="42" s="1"/>
  <c r="R39" i="42"/>
  <c r="S39" i="42" s="1"/>
  <c r="T39" i="42" s="1"/>
  <c r="E30" i="41"/>
  <c r="Q58" i="41"/>
  <c r="P59" i="41"/>
  <c r="Q59" i="41" s="1"/>
  <c r="U118" i="4"/>
  <c r="O104" i="4"/>
  <c r="O118" i="4"/>
  <c r="P12" i="38"/>
  <c r="AA17" i="19"/>
  <c r="AA13" i="19"/>
  <c r="AA19" i="19"/>
  <c r="AA20" i="19"/>
  <c r="U16" i="19"/>
  <c r="U11" i="19"/>
  <c r="Z10" i="19"/>
  <c r="U18" i="19"/>
  <c r="U10" i="19"/>
  <c r="Z14" i="19"/>
  <c r="N45" i="19"/>
  <c r="AF45" i="19" s="1"/>
  <c r="N42" i="19"/>
  <c r="AF42" i="19" s="1"/>
  <c r="Z12" i="19"/>
  <c r="N47" i="19"/>
  <c r="AF47" i="19" s="1"/>
  <c r="N27" i="19"/>
  <c r="N19" i="19"/>
  <c r="N49" i="19"/>
  <c r="AF49" i="19" s="1"/>
  <c r="U8" i="19"/>
  <c r="N66" i="19"/>
  <c r="AF66" i="19" s="1"/>
  <c r="N17" i="19"/>
  <c r="N51" i="19"/>
  <c r="AF51" i="19" s="1"/>
  <c r="N78" i="19"/>
  <c r="AF78" i="19" s="1"/>
  <c r="N29" i="19"/>
  <c r="N16" i="19"/>
  <c r="N80" i="19"/>
  <c r="AF80" i="19" s="1"/>
  <c r="AN80" i="19" s="1"/>
  <c r="AO80" i="19" s="1"/>
  <c r="AP80" i="19" s="1"/>
  <c r="BQ80" i="19" s="1"/>
  <c r="BR80" i="19" s="1"/>
  <c r="N70" i="19"/>
  <c r="AF70" i="19" s="1"/>
  <c r="N54" i="19"/>
  <c r="AF54" i="19" s="1"/>
  <c r="N5" i="19"/>
  <c r="N11" i="19"/>
  <c r="N34" i="19"/>
  <c r="AA12" i="19"/>
  <c r="AA11" i="19"/>
  <c r="AA5" i="19"/>
  <c r="AA15" i="19"/>
  <c r="U6" i="19"/>
  <c r="U13" i="19"/>
  <c r="U15" i="19"/>
  <c r="U9" i="19"/>
  <c r="Z18" i="19"/>
  <c r="N73" i="19"/>
  <c r="AF73" i="19" s="1"/>
  <c r="N74" i="19"/>
  <c r="AF74" i="19" s="1"/>
  <c r="Z9" i="19"/>
  <c r="Z16" i="19"/>
  <c r="N44" i="19"/>
  <c r="AF44" i="19" s="1"/>
  <c r="N40" i="19"/>
  <c r="AF40" i="19" s="1"/>
  <c r="N63" i="19"/>
  <c r="AF63" i="19" s="1"/>
  <c r="N55" i="19"/>
  <c r="AF55" i="19" s="1"/>
  <c r="N46" i="19"/>
  <c r="AF46" i="19" s="1"/>
  <c r="N67" i="19"/>
  <c r="AF67" i="19" s="1"/>
  <c r="N71" i="19"/>
  <c r="AF71" i="19" s="1"/>
  <c r="N72" i="19"/>
  <c r="AF72" i="19" s="1"/>
  <c r="N35" i="19"/>
  <c r="N32" i="19"/>
  <c r="N10" i="19"/>
  <c r="Z13" i="19"/>
  <c r="N12" i="19"/>
  <c r="N43" i="19"/>
  <c r="AF43" i="19" s="1"/>
  <c r="N25" i="19"/>
  <c r="N36" i="19"/>
  <c r="N61" i="19"/>
  <c r="AF61" i="19" s="1"/>
  <c r="AA18" i="19"/>
  <c r="AA14" i="19"/>
  <c r="AA7" i="19"/>
  <c r="AA9" i="19"/>
  <c r="U7" i="19"/>
  <c r="U12" i="19"/>
  <c r="U5" i="19"/>
  <c r="Z8" i="19"/>
  <c r="Z15" i="19"/>
  <c r="Z20" i="19"/>
  <c r="Z6" i="19"/>
  <c r="N56" i="19"/>
  <c r="AF56" i="19" s="1"/>
  <c r="N68" i="19"/>
  <c r="AF68" i="19" s="1"/>
  <c r="N53" i="19"/>
  <c r="AF53" i="19" s="1"/>
  <c r="N58" i="19"/>
  <c r="AF58" i="19" s="1"/>
  <c r="N37" i="19"/>
  <c r="N8" i="19"/>
  <c r="N77" i="19"/>
  <c r="AF77" i="19" s="1"/>
  <c r="N76" i="19"/>
  <c r="AF76" i="19" s="1"/>
  <c r="N48" i="19"/>
  <c r="AF48" i="19" s="1"/>
  <c r="Z19" i="19"/>
  <c r="N18" i="19"/>
  <c r="N64" i="19"/>
  <c r="AF64" i="19" s="1"/>
  <c r="N30" i="19"/>
  <c r="N52" i="19"/>
  <c r="AF52" i="19" s="1"/>
  <c r="N75" i="19"/>
  <c r="AF75" i="19" s="1"/>
  <c r="N9" i="19"/>
  <c r="N41" i="19"/>
  <c r="AF41" i="19" s="1"/>
  <c r="N15" i="19"/>
  <c r="N7" i="19"/>
  <c r="N28" i="19"/>
  <c r="AA8" i="19"/>
  <c r="U14" i="19"/>
  <c r="Z11" i="19"/>
  <c r="N57" i="19"/>
  <c r="AF57" i="19" s="1"/>
  <c r="N65" i="19"/>
  <c r="AF65" i="19" s="1"/>
  <c r="N14" i="19"/>
  <c r="N24" i="19"/>
  <c r="N79" i="19"/>
  <c r="AF79" i="19" s="1"/>
  <c r="Z7" i="19"/>
  <c r="AA6" i="19"/>
  <c r="U19" i="19"/>
  <c r="Z5" i="19"/>
  <c r="N20" i="19"/>
  <c r="N39" i="19"/>
  <c r="AF39" i="19" s="1"/>
  <c r="N50" i="19"/>
  <c r="AF50" i="19" s="1"/>
  <c r="N31" i="19"/>
  <c r="U17" i="19"/>
  <c r="N13" i="19"/>
  <c r="N59" i="19"/>
  <c r="AF59" i="19" s="1"/>
  <c r="AA16" i="19"/>
  <c r="Z17" i="19"/>
  <c r="N69" i="19"/>
  <c r="AF69" i="19" s="1"/>
  <c r="N33" i="19"/>
  <c r="N60" i="19"/>
  <c r="AF60" i="19" s="1"/>
  <c r="N26" i="19"/>
  <c r="N38" i="19"/>
  <c r="AF38" i="19" s="1"/>
  <c r="AA10" i="19"/>
  <c r="U20" i="19"/>
  <c r="N62" i="19"/>
  <c r="AF62" i="19" s="1"/>
  <c r="C86" i="19"/>
  <c r="O110" i="4"/>
  <c r="P114" i="4"/>
  <c r="U111" i="4"/>
  <c r="O117" i="4"/>
  <c r="O115" i="4"/>
  <c r="V110" i="4"/>
  <c r="P105" i="4"/>
  <c r="V105" i="4"/>
  <c r="U106" i="4"/>
  <c r="P113" i="4"/>
  <c r="V106" i="4"/>
  <c r="V114" i="4"/>
  <c r="V109" i="4"/>
  <c r="U112" i="4"/>
  <c r="O112" i="4"/>
  <c r="V117" i="4"/>
  <c r="O109" i="4"/>
  <c r="O114" i="4"/>
  <c r="O116" i="4"/>
  <c r="V108" i="4"/>
  <c r="O107" i="4"/>
  <c r="V107" i="4"/>
  <c r="U115" i="4"/>
  <c r="O111" i="4"/>
  <c r="U108" i="4"/>
  <c r="U114" i="4"/>
  <c r="U116" i="4"/>
  <c r="U109" i="4"/>
  <c r="U113" i="4"/>
  <c r="V111" i="4"/>
  <c r="O113" i="4"/>
  <c r="P104" i="4"/>
  <c r="P110" i="4"/>
  <c r="P106" i="4"/>
  <c r="P109" i="4"/>
  <c r="V116" i="4"/>
  <c r="O106" i="4"/>
  <c r="P107" i="4"/>
  <c r="U107" i="4"/>
  <c r="V113" i="4"/>
  <c r="V104" i="4"/>
  <c r="V112" i="4"/>
  <c r="V118" i="4"/>
  <c r="P118" i="4"/>
  <c r="V115" i="4"/>
  <c r="U105" i="4"/>
  <c r="U110" i="4"/>
  <c r="P116" i="4"/>
  <c r="U117" i="4"/>
  <c r="P108" i="4"/>
  <c r="P111" i="4"/>
  <c r="P117" i="4"/>
  <c r="O105" i="4"/>
  <c r="U104" i="4"/>
  <c r="O108" i="4"/>
  <c r="P112" i="4"/>
  <c r="P115" i="4"/>
  <c r="U38" i="19"/>
  <c r="AJ38" i="19" s="1"/>
  <c r="U55" i="19"/>
  <c r="AJ55" i="19" s="1"/>
  <c r="W32" i="19"/>
  <c r="U52" i="19"/>
  <c r="AJ52" i="19" s="1"/>
  <c r="U31" i="19"/>
  <c r="U41" i="19"/>
  <c r="AJ41" i="19" s="1"/>
  <c r="U59" i="19"/>
  <c r="AJ59" i="19" s="1"/>
  <c r="V46" i="19"/>
  <c r="U62" i="19"/>
  <c r="AJ62" i="19" s="1"/>
  <c r="W67" i="19"/>
  <c r="U34" i="19"/>
  <c r="U24" i="19"/>
  <c r="V25" i="19"/>
  <c r="U48" i="19"/>
  <c r="AJ48" i="19" s="1"/>
  <c r="V53" i="19"/>
  <c r="U73" i="19"/>
  <c r="AJ73" i="19" s="1"/>
  <c r="V60" i="19"/>
  <c r="V74" i="19"/>
  <c r="W53" i="19"/>
  <c r="U45" i="19"/>
  <c r="AJ45" i="19" s="1"/>
  <c r="U76" i="19"/>
  <c r="AJ76" i="19" s="1"/>
  <c r="W25" i="19"/>
  <c r="W46" i="19"/>
  <c r="W60" i="19"/>
  <c r="U69" i="19"/>
  <c r="AJ69" i="19" s="1"/>
  <c r="V67" i="19"/>
  <c r="U27" i="19"/>
  <c r="U66" i="19"/>
  <c r="AJ66" i="19" s="1"/>
  <c r="V39" i="19"/>
  <c r="W39" i="19"/>
  <c r="W74" i="19"/>
  <c r="V32" i="19"/>
  <c r="W117" i="4"/>
  <c r="W107" i="4"/>
  <c r="W113" i="4"/>
  <c r="R105" i="4"/>
  <c r="W116" i="4"/>
  <c r="W109" i="4"/>
  <c r="R108" i="4"/>
  <c r="Q113" i="4"/>
  <c r="W105" i="4"/>
  <c r="Q110" i="4"/>
  <c r="R113" i="4"/>
  <c r="Q108" i="4"/>
  <c r="R106" i="4"/>
  <c r="R112" i="4"/>
  <c r="W111" i="4"/>
  <c r="W106" i="4"/>
  <c r="W112" i="4"/>
  <c r="X118" i="4"/>
  <c r="X112" i="4"/>
  <c r="W115" i="4"/>
  <c r="X116" i="4"/>
  <c r="R117" i="4"/>
  <c r="X109" i="4"/>
  <c r="Q106" i="4"/>
  <c r="X107" i="4"/>
  <c r="X114" i="4"/>
  <c r="X108" i="4"/>
  <c r="Q104" i="4"/>
  <c r="R104" i="4"/>
  <c r="Q111" i="4"/>
  <c r="W108" i="4"/>
  <c r="Q116" i="4"/>
  <c r="R116" i="4"/>
  <c r="R109" i="4"/>
  <c r="R110" i="4"/>
  <c r="R111" i="4"/>
  <c r="Q114" i="4"/>
  <c r="X111" i="4"/>
  <c r="Q115" i="4"/>
  <c r="Q117" i="4"/>
  <c r="Q118" i="4"/>
  <c r="X104" i="4"/>
  <c r="W114" i="4"/>
  <c r="Q109" i="4"/>
  <c r="R118" i="4"/>
  <c r="X117" i="4"/>
  <c r="W118" i="4"/>
  <c r="X106" i="4"/>
  <c r="X110" i="4"/>
  <c r="R114" i="4"/>
  <c r="Q107" i="4"/>
  <c r="X105" i="4"/>
  <c r="Q112" i="4"/>
  <c r="X115" i="4"/>
  <c r="R107" i="4"/>
  <c r="X113" i="4"/>
  <c r="W110" i="4"/>
  <c r="R115" i="4"/>
  <c r="W104" i="4"/>
  <c r="Y105" i="4"/>
  <c r="S118" i="4"/>
  <c r="T108" i="4"/>
  <c r="Z116" i="4"/>
  <c r="Z110" i="4"/>
  <c r="Z117" i="4"/>
  <c r="Y109" i="4"/>
  <c r="Y110" i="4"/>
  <c r="Z118" i="4"/>
  <c r="S105" i="4"/>
  <c r="Z111" i="4"/>
  <c r="Z104" i="4"/>
  <c r="Z105" i="4"/>
  <c r="Y107" i="4"/>
  <c r="T104" i="4"/>
  <c r="S106" i="4"/>
  <c r="Y117" i="4"/>
  <c r="T105" i="4"/>
  <c r="T115" i="4"/>
  <c r="Z107" i="4"/>
  <c r="T116" i="4"/>
  <c r="Z108" i="4"/>
  <c r="T107" i="4"/>
  <c r="S108" i="4"/>
  <c r="Z112" i="4"/>
  <c r="S107" i="4"/>
  <c r="T118" i="4"/>
  <c r="Z106" i="4"/>
  <c r="T112" i="4"/>
  <c r="Y104" i="4"/>
  <c r="S113" i="4"/>
  <c r="S117" i="4"/>
  <c r="S115" i="4"/>
  <c r="T110" i="4"/>
  <c r="T113" i="4"/>
  <c r="S112" i="4"/>
  <c r="T117" i="4"/>
  <c r="S109" i="4"/>
  <c r="Z113" i="4"/>
  <c r="Y106" i="4"/>
  <c r="T106" i="4"/>
  <c r="Z115" i="4"/>
  <c r="T109" i="4"/>
  <c r="Z109" i="4"/>
  <c r="T111" i="4"/>
  <c r="S110" i="4"/>
  <c r="Y116" i="4"/>
  <c r="S111" i="4"/>
  <c r="Z114" i="4"/>
  <c r="S116" i="4"/>
  <c r="Y112" i="4"/>
  <c r="Y108" i="4"/>
  <c r="Y118" i="4"/>
  <c r="Y115" i="4"/>
  <c r="Y111" i="4"/>
  <c r="T114" i="4"/>
  <c r="Y114" i="4"/>
  <c r="S104" i="4"/>
  <c r="S114" i="4"/>
  <c r="Y113" i="4"/>
  <c r="Q28" i="42" l="1"/>
  <c r="R28" i="42" s="1"/>
  <c r="S28" i="42" s="1"/>
  <c r="T28" i="42" s="1"/>
  <c r="P21" i="41"/>
  <c r="Q21" i="41" s="1"/>
  <c r="S29" i="41" s="1"/>
  <c r="T29" i="41" s="1"/>
  <c r="U29" i="41" s="1"/>
  <c r="AN10" i="4"/>
  <c r="P50" i="41"/>
  <c r="P51" i="41" s="1"/>
  <c r="S35" i="41"/>
  <c r="T35" i="41" s="1"/>
  <c r="U35" i="41" s="1"/>
  <c r="O142" i="4"/>
  <c r="L144" i="4" s="1"/>
  <c r="V2" i="4" s="1"/>
  <c r="S40" i="41"/>
  <c r="T40" i="41" s="1"/>
  <c r="U40" i="41" s="1"/>
  <c r="I24" i="41"/>
  <c r="S41" i="41"/>
  <c r="T41" i="41" s="1"/>
  <c r="U41" i="41" s="1"/>
  <c r="S36" i="41"/>
  <c r="T36" i="41" s="1"/>
  <c r="U36" i="41" s="1"/>
  <c r="S37" i="41"/>
  <c r="T37" i="41" s="1"/>
  <c r="U37" i="41" s="1"/>
  <c r="S38" i="41"/>
  <c r="T38" i="41" s="1"/>
  <c r="U38" i="41" s="1"/>
  <c r="Q15" i="42"/>
  <c r="O9" i="42"/>
  <c r="P9" i="42" s="1"/>
  <c r="S14" i="41"/>
  <c r="T14" i="41" s="1"/>
  <c r="U14" i="41" s="1"/>
  <c r="Q10" i="42"/>
  <c r="S12" i="41"/>
  <c r="T12" i="41" s="1"/>
  <c r="U12" i="41" s="1"/>
  <c r="Q11" i="42"/>
  <c r="Q27" i="42"/>
  <c r="R27" i="42" s="1"/>
  <c r="S27" i="42" s="1"/>
  <c r="T27" i="42" s="1"/>
  <c r="I7" i="42"/>
  <c r="Q16" i="42"/>
  <c r="Q23" i="42"/>
  <c r="R23" i="42" s="1"/>
  <c r="S23" i="42" s="1"/>
  <c r="T23" i="42" s="1"/>
  <c r="Q22" i="42"/>
  <c r="R22" i="42" s="1"/>
  <c r="S22" i="42" s="1"/>
  <c r="T22" i="42" s="1"/>
  <c r="S18" i="41"/>
  <c r="T18" i="41" s="1"/>
  <c r="U18" i="41" s="1"/>
  <c r="S17" i="41"/>
  <c r="T17" i="41" s="1"/>
  <c r="U17" i="41" s="1"/>
  <c r="S20" i="41"/>
  <c r="T20" i="41" s="1"/>
  <c r="S19" i="41"/>
  <c r="T19" i="41" s="1"/>
  <c r="U19" i="41" s="1"/>
  <c r="AB17" i="19"/>
  <c r="Y17" i="19" s="1"/>
  <c r="BB17" i="19" s="1"/>
  <c r="J144" i="4"/>
  <c r="V1" i="4" s="1"/>
  <c r="P60" i="41"/>
  <c r="R32" i="42"/>
  <c r="S32" i="42" s="1"/>
  <c r="R31" i="42"/>
  <c r="S31" i="42" s="1"/>
  <c r="T31" i="42" s="1"/>
  <c r="R25" i="42"/>
  <c r="S25" i="42" s="1"/>
  <c r="T25" i="42" s="1"/>
  <c r="R29" i="42"/>
  <c r="S29" i="42" s="1"/>
  <c r="T29" i="42" s="1"/>
  <c r="R26" i="42"/>
  <c r="S26" i="42" s="1"/>
  <c r="T26" i="42" s="1"/>
  <c r="R30" i="42"/>
  <c r="S30" i="42" s="1"/>
  <c r="T30" i="42" s="1"/>
  <c r="R24" i="42"/>
  <c r="S24" i="42" s="1"/>
  <c r="T24" i="42" s="1"/>
  <c r="R27" i="41"/>
  <c r="R10" i="41"/>
  <c r="S10" i="41" s="1"/>
  <c r="T10" i="41" s="1"/>
  <c r="R11" i="41"/>
  <c r="S11" i="41" s="1"/>
  <c r="T11" i="41" s="1"/>
  <c r="U11" i="41" s="1"/>
  <c r="R16" i="41"/>
  <c r="S16" i="41" s="1"/>
  <c r="T16" i="41" s="1"/>
  <c r="U16" i="41" s="1"/>
  <c r="R15" i="41"/>
  <c r="S15" i="41" s="1"/>
  <c r="T15" i="41" s="1"/>
  <c r="U15" i="41" s="1"/>
  <c r="R23" i="41"/>
  <c r="R22" i="41"/>
  <c r="R28" i="41"/>
  <c r="T35" i="42"/>
  <c r="U37" i="42"/>
  <c r="U38" i="42"/>
  <c r="T38" i="42"/>
  <c r="U40" i="42"/>
  <c r="U39" i="42"/>
  <c r="AB11" i="4"/>
  <c r="AB11" i="19"/>
  <c r="Y11" i="19" s="1"/>
  <c r="BB11" i="19" s="1"/>
  <c r="AB20" i="19"/>
  <c r="Y20" i="19" s="1"/>
  <c r="BB20" i="19" s="1"/>
  <c r="U119" i="4"/>
  <c r="P122" i="4" s="1"/>
  <c r="O119" i="4"/>
  <c r="P125" i="4" s="1"/>
  <c r="X67" i="19"/>
  <c r="U67" i="19" s="1"/>
  <c r="AJ67" i="19" s="1"/>
  <c r="X39" i="19"/>
  <c r="U39" i="19" s="1"/>
  <c r="AJ39" i="19" s="1"/>
  <c r="X60" i="19"/>
  <c r="U60" i="19" s="1"/>
  <c r="AJ60" i="19" s="1"/>
  <c r="X25" i="19"/>
  <c r="U25" i="19" s="1"/>
  <c r="AU25" i="19" s="1"/>
  <c r="S119" i="4"/>
  <c r="R125" i="4" s="1"/>
  <c r="R119" i="4"/>
  <c r="Q126" i="4" s="1"/>
  <c r="AB7" i="19"/>
  <c r="Y7" i="19" s="1"/>
  <c r="BK7" i="19" s="1"/>
  <c r="AB19" i="19"/>
  <c r="Y19" i="19" s="1"/>
  <c r="BB19" i="19" s="1"/>
  <c r="AB5" i="19"/>
  <c r="Y5" i="19" s="1"/>
  <c r="BK5" i="19" s="1"/>
  <c r="AB9" i="19"/>
  <c r="Y9" i="19" s="1"/>
  <c r="BB9" i="19" s="1"/>
  <c r="AQ24" i="19"/>
  <c r="AF24" i="19"/>
  <c r="AO7" i="19"/>
  <c r="AF7" i="19"/>
  <c r="AX7" i="19"/>
  <c r="BG7" i="19"/>
  <c r="AX18" i="19"/>
  <c r="BG18" i="19"/>
  <c r="AF18" i="19"/>
  <c r="AO18" i="19"/>
  <c r="AS12" i="19"/>
  <c r="AJ12" i="19"/>
  <c r="AF25" i="19"/>
  <c r="AQ25" i="19"/>
  <c r="AS9" i="19"/>
  <c r="AJ9" i="19"/>
  <c r="AQ34" i="19"/>
  <c r="AF34" i="19"/>
  <c r="AS8" i="19"/>
  <c r="AJ8" i="19"/>
  <c r="AB14" i="19"/>
  <c r="Y14" i="19" s="1"/>
  <c r="AJ11" i="19"/>
  <c r="AS11" i="19"/>
  <c r="Q119" i="4"/>
  <c r="Q125" i="4" s="1"/>
  <c r="X32" i="19"/>
  <c r="U32" i="19" s="1"/>
  <c r="AJ24" i="19"/>
  <c r="AU24" i="19"/>
  <c r="X46" i="19"/>
  <c r="U46" i="19" s="1"/>
  <c r="AJ46" i="19" s="1"/>
  <c r="V119" i="4"/>
  <c r="P123" i="4" s="1"/>
  <c r="C85" i="19"/>
  <c r="AQ26" i="19"/>
  <c r="AF26" i="19"/>
  <c r="AJ17" i="19"/>
  <c r="AS17" i="19"/>
  <c r="AX20" i="19"/>
  <c r="AF20" i="19"/>
  <c r="BG20" i="19"/>
  <c r="AO20" i="19"/>
  <c r="AF14" i="19"/>
  <c r="BG14" i="19"/>
  <c r="AO14" i="19"/>
  <c r="AX14" i="19"/>
  <c r="AJ14" i="19"/>
  <c r="AS14" i="19"/>
  <c r="AO15" i="19"/>
  <c r="BG15" i="19"/>
  <c r="AF15" i="19"/>
  <c r="AX15" i="19"/>
  <c r="AN52" i="19"/>
  <c r="AO52" i="19" s="1"/>
  <c r="AP52" i="19" s="1"/>
  <c r="BQ52" i="19" s="1"/>
  <c r="AX8" i="19"/>
  <c r="AF8" i="19"/>
  <c r="BG8" i="19"/>
  <c r="AO8" i="19"/>
  <c r="AB15" i="19"/>
  <c r="Y15" i="19" s="1"/>
  <c r="AS7" i="19"/>
  <c r="AJ7" i="19"/>
  <c r="AQ32" i="19"/>
  <c r="AF32" i="19"/>
  <c r="AJ15" i="19"/>
  <c r="AS15" i="19"/>
  <c r="BG11" i="19"/>
  <c r="AF11" i="19"/>
  <c r="AO11" i="19"/>
  <c r="AX11" i="19"/>
  <c r="BT80" i="19"/>
  <c r="BU80" i="19" s="1"/>
  <c r="BW80" i="19" s="1"/>
  <c r="BS80" i="19"/>
  <c r="AB12" i="19"/>
  <c r="Y12" i="19" s="1"/>
  <c r="AJ10" i="19"/>
  <c r="AS10" i="19"/>
  <c r="AS16" i="19"/>
  <c r="AJ16" i="19"/>
  <c r="Y119" i="4"/>
  <c r="R122" i="4" s="1"/>
  <c r="AO10" i="19"/>
  <c r="AF10" i="19"/>
  <c r="BG10" i="19"/>
  <c r="AX10" i="19"/>
  <c r="Z119" i="4"/>
  <c r="R123" i="4" s="1"/>
  <c r="W119" i="4"/>
  <c r="Q122" i="4" s="1"/>
  <c r="AJ27" i="19"/>
  <c r="AU27" i="19"/>
  <c r="X53" i="19"/>
  <c r="U53" i="19" s="1"/>
  <c r="AJ53" i="19" s="1"/>
  <c r="AU34" i="19"/>
  <c r="AJ34" i="19"/>
  <c r="P119" i="4"/>
  <c r="P126" i="4" s="1"/>
  <c r="AS20" i="19"/>
  <c r="AJ20" i="19"/>
  <c r="AF31" i="19"/>
  <c r="AQ31" i="19"/>
  <c r="AF30" i="19"/>
  <c r="AQ30" i="19"/>
  <c r="AF37" i="19"/>
  <c r="AQ37" i="19"/>
  <c r="AB8" i="19"/>
  <c r="Y8" i="19" s="1"/>
  <c r="AX12" i="19"/>
  <c r="AO12" i="19"/>
  <c r="AF12" i="19"/>
  <c r="BG12" i="19"/>
  <c r="AQ35" i="19"/>
  <c r="AF35" i="19"/>
  <c r="AN73" i="19"/>
  <c r="AO73" i="19" s="1"/>
  <c r="AP73" i="19" s="1"/>
  <c r="BQ73" i="19" s="1"/>
  <c r="AJ13" i="19"/>
  <c r="AS13" i="19"/>
  <c r="AF5" i="19"/>
  <c r="AX5" i="19"/>
  <c r="BG5" i="19"/>
  <c r="AO5" i="19"/>
  <c r="BG16" i="19"/>
  <c r="AF16" i="19"/>
  <c r="AO16" i="19"/>
  <c r="AX16" i="19"/>
  <c r="AF17" i="19"/>
  <c r="BG17" i="19"/>
  <c r="AO17" i="19"/>
  <c r="AX17" i="19"/>
  <c r="AF19" i="19"/>
  <c r="AX19" i="19"/>
  <c r="BG19" i="19"/>
  <c r="AO19" i="19"/>
  <c r="AS18" i="19"/>
  <c r="AJ18" i="19"/>
  <c r="AU31" i="19"/>
  <c r="AJ31" i="19"/>
  <c r="AN38" i="19"/>
  <c r="AO38" i="19" s="1"/>
  <c r="AP38" i="19" s="1"/>
  <c r="BQ38" i="19" s="1"/>
  <c r="AF13" i="19"/>
  <c r="BG13" i="19"/>
  <c r="AX13" i="19"/>
  <c r="AO13" i="19"/>
  <c r="T119" i="4"/>
  <c r="R126" i="4" s="1"/>
  <c r="X119" i="4"/>
  <c r="Q123" i="4" s="1"/>
  <c r="X74" i="19"/>
  <c r="U74" i="19" s="1"/>
  <c r="AJ74" i="19" s="1"/>
  <c r="AQ33" i="19"/>
  <c r="AF33" i="19"/>
  <c r="AN59" i="19"/>
  <c r="AO59" i="19" s="1"/>
  <c r="AP59" i="19" s="1"/>
  <c r="BQ59" i="19" s="1"/>
  <c r="AS19" i="19"/>
  <c r="AJ19" i="19"/>
  <c r="BG6" i="19"/>
  <c r="AX6" i="19"/>
  <c r="AO6" i="19"/>
  <c r="AF6" i="19"/>
  <c r="AQ28" i="19"/>
  <c r="AF28" i="19"/>
  <c r="AX9" i="19"/>
  <c r="BG9" i="19"/>
  <c r="AO9" i="19"/>
  <c r="AF9" i="19"/>
  <c r="AB6" i="19"/>
  <c r="Y6" i="19" s="1"/>
  <c r="AS5" i="19"/>
  <c r="AJ5" i="19"/>
  <c r="AQ36" i="19"/>
  <c r="AF36" i="19"/>
  <c r="AB13" i="19"/>
  <c r="Y13" i="19" s="1"/>
  <c r="AB16" i="19"/>
  <c r="Y16" i="19" s="1"/>
  <c r="AB18" i="19"/>
  <c r="Y18" i="19" s="1"/>
  <c r="AJ6" i="19"/>
  <c r="AS6" i="19"/>
  <c r="AF29" i="19"/>
  <c r="AQ29" i="19"/>
  <c r="AN66" i="19"/>
  <c r="AO66" i="19" s="1"/>
  <c r="AP66" i="19" s="1"/>
  <c r="BQ66" i="19" s="1"/>
  <c r="AQ27" i="19"/>
  <c r="AF27" i="19"/>
  <c r="AN45" i="19"/>
  <c r="AO45" i="19" s="1"/>
  <c r="AP45" i="19" s="1"/>
  <c r="BQ45" i="19" s="1"/>
  <c r="AB10" i="19"/>
  <c r="Y10" i="19" s="1"/>
  <c r="Q1" i="4" l="1"/>
  <c r="S28" i="41"/>
  <c r="T28" i="41" s="1"/>
  <c r="U28" i="41" s="1"/>
  <c r="S31" i="41"/>
  <c r="T31" i="41" s="1"/>
  <c r="U31" i="41" s="1"/>
  <c r="Q50" i="41"/>
  <c r="S22" i="41"/>
  <c r="T22" i="41" s="1"/>
  <c r="U22" i="41" s="1"/>
  <c r="S32" i="41"/>
  <c r="T32" i="41" s="1"/>
  <c r="S27" i="41"/>
  <c r="T27" i="41" s="1"/>
  <c r="U27" i="41" s="1"/>
  <c r="S26" i="41"/>
  <c r="T26" i="41" s="1"/>
  <c r="U26" i="41" s="1"/>
  <c r="S23" i="41"/>
  <c r="T23" i="41" s="1"/>
  <c r="U23" i="41" s="1"/>
  <c r="S30" i="41"/>
  <c r="T30" i="41" s="1"/>
  <c r="U30" i="41" s="1"/>
  <c r="N43" i="41"/>
  <c r="S25" i="41"/>
  <c r="T25" i="41" s="1"/>
  <c r="U25" i="41" s="1"/>
  <c r="S24" i="41"/>
  <c r="T24" i="41" s="1"/>
  <c r="U24" i="41" s="1"/>
  <c r="R15" i="42"/>
  <c r="S15" i="42" s="1"/>
  <c r="T15" i="42" s="1"/>
  <c r="V37" i="41"/>
  <c r="R13" i="42"/>
  <c r="S13" i="42" s="1"/>
  <c r="T13" i="42" s="1"/>
  <c r="R18" i="42"/>
  <c r="S18" i="42" s="1"/>
  <c r="T18" i="42" s="1"/>
  <c r="V38" i="41"/>
  <c r="R11" i="42"/>
  <c r="S11" i="42" s="1"/>
  <c r="T11" i="42" s="1"/>
  <c r="R16" i="42"/>
  <c r="S16" i="42" s="1"/>
  <c r="T16" i="42" s="1"/>
  <c r="R12" i="42"/>
  <c r="S12" i="42" s="1"/>
  <c r="T12" i="42" s="1"/>
  <c r="V40" i="41"/>
  <c r="V39" i="41"/>
  <c r="M43" i="42"/>
  <c r="R20" i="42"/>
  <c r="S20" i="42" s="1"/>
  <c r="R17" i="42"/>
  <c r="S17" i="42" s="1"/>
  <c r="T17" i="42" s="1"/>
  <c r="R19" i="42"/>
  <c r="S19" i="42" s="1"/>
  <c r="T19" i="42" s="1"/>
  <c r="R14" i="42"/>
  <c r="S14" i="42" s="1"/>
  <c r="T14" i="42" s="1"/>
  <c r="R10" i="42"/>
  <c r="S10" i="42" s="1"/>
  <c r="T10" i="42" s="1"/>
  <c r="BK17" i="19"/>
  <c r="BK20" i="19"/>
  <c r="P52" i="41"/>
  <c r="Q51" i="41"/>
  <c r="R127" i="4"/>
  <c r="O43" i="42"/>
  <c r="U10" i="41"/>
  <c r="Q60" i="41"/>
  <c r="P61" i="41"/>
  <c r="B95" i="19"/>
  <c r="E3" i="40"/>
  <c r="L5" i="40" s="1"/>
  <c r="P127" i="4"/>
  <c r="B96" i="19"/>
  <c r="E4" i="40"/>
  <c r="L6" i="40" s="1"/>
  <c r="BK11" i="19"/>
  <c r="BB7" i="19"/>
  <c r="BK19" i="19"/>
  <c r="BK9" i="19"/>
  <c r="AJ25" i="19"/>
  <c r="BB5" i="19"/>
  <c r="BB16" i="19"/>
  <c r="BK16" i="19"/>
  <c r="BK13" i="19"/>
  <c r="BB13" i="19"/>
  <c r="AY31" i="19"/>
  <c r="AZ31" i="19" s="1"/>
  <c r="BA31" i="19" s="1"/>
  <c r="E106" i="19"/>
  <c r="BV80" i="19"/>
  <c r="AN24" i="19"/>
  <c r="AO24" i="19" s="1"/>
  <c r="AP24" i="19" s="1"/>
  <c r="BB10" i="19"/>
  <c r="BK10" i="19"/>
  <c r="BS66" i="19"/>
  <c r="BR66" i="19"/>
  <c r="BT66" i="19" s="1"/>
  <c r="BK6" i="19"/>
  <c r="BB6" i="19"/>
  <c r="BB8" i="19"/>
  <c r="BK8" i="19"/>
  <c r="AN31" i="19"/>
  <c r="AO31" i="19" s="1"/>
  <c r="AP31" i="19" s="1"/>
  <c r="O6" i="19"/>
  <c r="O10" i="19"/>
  <c r="O15" i="19"/>
  <c r="O19" i="19"/>
  <c r="O11" i="19"/>
  <c r="O9" i="19"/>
  <c r="O18" i="19"/>
  <c r="O14" i="19"/>
  <c r="O5" i="19"/>
  <c r="O16" i="19"/>
  <c r="O7" i="19"/>
  <c r="O12" i="19"/>
  <c r="O17" i="19"/>
  <c r="O8" i="19"/>
  <c r="O13" i="19"/>
  <c r="O20" i="19"/>
  <c r="AU32" i="19"/>
  <c r="AJ32" i="19"/>
  <c r="BK14" i="19"/>
  <c r="BB14" i="19"/>
  <c r="AY24" i="19"/>
  <c r="AZ24" i="19" s="1"/>
  <c r="BA24" i="19" s="1"/>
  <c r="BS38" i="19"/>
  <c r="BR38" i="19"/>
  <c r="BT38" i="19" s="1"/>
  <c r="BK15" i="19"/>
  <c r="BB15" i="19"/>
  <c r="BR45" i="19"/>
  <c r="BT45" i="19" s="1"/>
  <c r="BS45" i="19"/>
  <c r="BB18" i="19"/>
  <c r="BK18" i="19"/>
  <c r="BS59" i="19"/>
  <c r="BR59" i="19"/>
  <c r="BT59" i="19" s="1"/>
  <c r="BS73" i="19"/>
  <c r="BR73" i="19"/>
  <c r="BT73" i="19" s="1"/>
  <c r="Q127" i="4"/>
  <c r="BB12" i="19"/>
  <c r="BK12" i="19"/>
  <c r="BR52" i="19"/>
  <c r="BT52" i="19" s="1"/>
  <c r="BS52" i="19"/>
  <c r="Y49" i="19"/>
  <c r="AK49" i="19" s="1"/>
  <c r="AN49" i="19" s="1"/>
  <c r="AO49" i="19" s="1"/>
  <c r="AP49" i="19" s="1"/>
  <c r="BQ49" i="19" s="1"/>
  <c r="AD65" i="19"/>
  <c r="AM65" i="19" s="1"/>
  <c r="AD71" i="19"/>
  <c r="AM71" i="19" s="1"/>
  <c r="Y60" i="19"/>
  <c r="AK60" i="19" s="1"/>
  <c r="AN60" i="19" s="1"/>
  <c r="AO60" i="19" s="1"/>
  <c r="AP60" i="19" s="1"/>
  <c r="BQ60" i="19" s="1"/>
  <c r="Y54" i="19"/>
  <c r="AK54" i="19" s="1"/>
  <c r="AN54" i="19" s="1"/>
  <c r="AO54" i="19" s="1"/>
  <c r="AP54" i="19" s="1"/>
  <c r="BQ54" i="19" s="1"/>
  <c r="Y72" i="19"/>
  <c r="AK72" i="19" s="1"/>
  <c r="Y34" i="19"/>
  <c r="Y58" i="19"/>
  <c r="AK58" i="19" s="1"/>
  <c r="Y50" i="19"/>
  <c r="AK50" i="19" s="1"/>
  <c r="Y42" i="19"/>
  <c r="AK42" i="19" s="1"/>
  <c r="AN42" i="19" s="1"/>
  <c r="AO42" i="19" s="1"/>
  <c r="AP42" i="19" s="1"/>
  <c r="BQ42" i="19" s="1"/>
  <c r="AD18" i="19"/>
  <c r="AD36" i="19"/>
  <c r="AD44" i="19"/>
  <c r="AM44" i="19" s="1"/>
  <c r="AD37" i="19"/>
  <c r="Y35" i="19"/>
  <c r="Y30" i="19"/>
  <c r="Y33" i="19"/>
  <c r="Y39" i="19"/>
  <c r="AK39" i="19" s="1"/>
  <c r="AN39" i="19" s="1"/>
  <c r="AO39" i="19" s="1"/>
  <c r="AP39" i="19" s="1"/>
  <c r="BQ39" i="19" s="1"/>
  <c r="AD78" i="19"/>
  <c r="AM78" i="19" s="1"/>
  <c r="AD20" i="19"/>
  <c r="Y67" i="19"/>
  <c r="AK67" i="19" s="1"/>
  <c r="AN67" i="19" s="1"/>
  <c r="AO67" i="19" s="1"/>
  <c r="AP67" i="19" s="1"/>
  <c r="BQ67" i="19" s="1"/>
  <c r="Y62" i="19"/>
  <c r="AK62" i="19" s="1"/>
  <c r="AN62" i="19" s="1"/>
  <c r="AO62" i="19" s="1"/>
  <c r="AP62" i="19" s="1"/>
  <c r="BQ62" i="19" s="1"/>
  <c r="Y61" i="19"/>
  <c r="AK61" i="19" s="1"/>
  <c r="AN61" i="19" s="1"/>
  <c r="AO61" i="19" s="1"/>
  <c r="AP61" i="19" s="1"/>
  <c r="BQ61" i="19" s="1"/>
  <c r="Y32" i="19"/>
  <c r="Y46" i="19"/>
  <c r="AK46" i="19" s="1"/>
  <c r="AN46" i="19" s="1"/>
  <c r="AO46" i="19" s="1"/>
  <c r="AP46" i="19" s="1"/>
  <c r="BQ46" i="19" s="1"/>
  <c r="Y55" i="19"/>
  <c r="AK55" i="19" s="1"/>
  <c r="AN55" i="19" s="1"/>
  <c r="AO55" i="19" s="1"/>
  <c r="AP55" i="19" s="1"/>
  <c r="BQ55" i="19" s="1"/>
  <c r="Y40" i="19"/>
  <c r="AK40" i="19" s="1"/>
  <c r="AN40" i="19" s="1"/>
  <c r="AO40" i="19" s="1"/>
  <c r="AP40" i="19" s="1"/>
  <c r="BQ40" i="19" s="1"/>
  <c r="AD10" i="19"/>
  <c r="Y26" i="19"/>
  <c r="Y48" i="19"/>
  <c r="AK48" i="19" s="1"/>
  <c r="AN48" i="19" s="1"/>
  <c r="AO48" i="19" s="1"/>
  <c r="AP48" i="19" s="1"/>
  <c r="BQ48" i="19" s="1"/>
  <c r="Y41" i="19"/>
  <c r="AK41" i="19" s="1"/>
  <c r="AN41" i="19" s="1"/>
  <c r="AO41" i="19" s="1"/>
  <c r="AP41" i="19" s="1"/>
  <c r="BQ41" i="19" s="1"/>
  <c r="Y69" i="19"/>
  <c r="AK69" i="19" s="1"/>
  <c r="AN69" i="19" s="1"/>
  <c r="AO69" i="19" s="1"/>
  <c r="AP69" i="19" s="1"/>
  <c r="BQ69" i="19" s="1"/>
  <c r="Y68" i="19"/>
  <c r="AK68" i="19" s="1"/>
  <c r="AN68" i="19" s="1"/>
  <c r="AO68" i="19" s="1"/>
  <c r="AP68" i="19" s="1"/>
  <c r="BQ68" i="19" s="1"/>
  <c r="Y37" i="19"/>
  <c r="Y77" i="19"/>
  <c r="AK77" i="19" s="1"/>
  <c r="AN77" i="19" s="1"/>
  <c r="AO77" i="19" s="1"/>
  <c r="AP77" i="19" s="1"/>
  <c r="BQ77" i="19" s="1"/>
  <c r="Y65" i="19"/>
  <c r="AK65" i="19" s="1"/>
  <c r="Y44" i="19"/>
  <c r="AK44" i="19" s="1"/>
  <c r="AD50" i="19"/>
  <c r="AM50" i="19" s="1"/>
  <c r="AD43" i="19"/>
  <c r="AM43" i="19" s="1"/>
  <c r="AD16" i="19"/>
  <c r="AD29" i="19"/>
  <c r="Y29" i="19"/>
  <c r="AD19" i="19"/>
  <c r="Y71" i="19"/>
  <c r="AK71" i="19" s="1"/>
  <c r="Y28" i="19"/>
  <c r="Y56" i="19"/>
  <c r="AK56" i="19" s="1"/>
  <c r="AN56" i="19" s="1"/>
  <c r="AO56" i="19" s="1"/>
  <c r="AP56" i="19" s="1"/>
  <c r="BQ56" i="19" s="1"/>
  <c r="AD12" i="19"/>
  <c r="Y25" i="19"/>
  <c r="AD6" i="19"/>
  <c r="AD72" i="19"/>
  <c r="AM72" i="19" s="1"/>
  <c r="AD57" i="19"/>
  <c r="AM57" i="19" s="1"/>
  <c r="Y57" i="19"/>
  <c r="AK57" i="19" s="1"/>
  <c r="Y53" i="19"/>
  <c r="AK53" i="19" s="1"/>
  <c r="AN53" i="19" s="1"/>
  <c r="AO53" i="19" s="1"/>
  <c r="AP53" i="19" s="1"/>
  <c r="BQ53" i="19" s="1"/>
  <c r="Y47" i="19"/>
  <c r="AK47" i="19" s="1"/>
  <c r="AN47" i="19" s="1"/>
  <c r="AO47" i="19" s="1"/>
  <c r="AP47" i="19" s="1"/>
  <c r="BQ47" i="19" s="1"/>
  <c r="Y64" i="19"/>
  <c r="AK64" i="19" s="1"/>
  <c r="Y51" i="19"/>
  <c r="AK51" i="19" s="1"/>
  <c r="Y79" i="19"/>
  <c r="AK79" i="19" s="1"/>
  <c r="AD58" i="19"/>
  <c r="AM58" i="19" s="1"/>
  <c r="AD13" i="19"/>
  <c r="AD14" i="19"/>
  <c r="AD5" i="19"/>
  <c r="Y74" i="19"/>
  <c r="AK74" i="19" s="1"/>
  <c r="AN74" i="19" s="1"/>
  <c r="AO74" i="19" s="1"/>
  <c r="AP74" i="19" s="1"/>
  <c r="BQ74" i="19" s="1"/>
  <c r="AD8" i="19"/>
  <c r="AD15" i="19"/>
  <c r="Y27" i="19"/>
  <c r="AD64" i="19"/>
  <c r="AM64" i="19" s="1"/>
  <c r="AD79" i="19"/>
  <c r="AM79" i="19" s="1"/>
  <c r="Y70" i="19"/>
  <c r="AK70" i="19" s="1"/>
  <c r="AN70" i="19" s="1"/>
  <c r="AO70" i="19" s="1"/>
  <c r="AP70" i="19" s="1"/>
  <c r="BQ70" i="19" s="1"/>
  <c r="AD7" i="19"/>
  <c r="AD51" i="19"/>
  <c r="AM51" i="19" s="1"/>
  <c r="Y78" i="19"/>
  <c r="AK78" i="19" s="1"/>
  <c r="Y63" i="19"/>
  <c r="AK63" i="19" s="1"/>
  <c r="AN63" i="19" s="1"/>
  <c r="AO63" i="19" s="1"/>
  <c r="AP63" i="19" s="1"/>
  <c r="BQ63" i="19" s="1"/>
  <c r="Y36" i="19"/>
  <c r="Y75" i="19"/>
  <c r="AK75" i="19" s="1"/>
  <c r="AN75" i="19" s="1"/>
  <c r="AO75" i="19" s="1"/>
  <c r="AP75" i="19" s="1"/>
  <c r="BQ75" i="19" s="1"/>
  <c r="AD30" i="19"/>
  <c r="Y76" i="19"/>
  <c r="AK76" i="19" s="1"/>
  <c r="AN76" i="19" s="1"/>
  <c r="AO76" i="19" s="1"/>
  <c r="AP76" i="19" s="1"/>
  <c r="BQ76" i="19" s="1"/>
  <c r="AD11" i="19"/>
  <c r="Y43" i="19"/>
  <c r="AK43" i="19" s="1"/>
  <c r="AD9" i="19"/>
  <c r="AD17" i="19"/>
  <c r="AN78" i="19" l="1"/>
  <c r="AO78" i="19" s="1"/>
  <c r="AP78" i="19" s="1"/>
  <c r="BQ78" i="19" s="1"/>
  <c r="BR78" i="19" s="1"/>
  <c r="BT78" i="19" s="1"/>
  <c r="AN44" i="19"/>
  <c r="AO44" i="19" s="1"/>
  <c r="AP44" i="19" s="1"/>
  <c r="BQ44" i="19" s="1"/>
  <c r="BS44" i="19" s="1"/>
  <c r="O43" i="41"/>
  <c r="Q43" i="41"/>
  <c r="P43" i="41"/>
  <c r="N43" i="42"/>
  <c r="R43" i="42" s="1"/>
  <c r="AD6" i="4" s="1"/>
  <c r="P43" i="42"/>
  <c r="AB6" i="4" s="1"/>
  <c r="Q52" i="41"/>
  <c r="P53" i="41"/>
  <c r="Q61" i="41"/>
  <c r="P62" i="41"/>
  <c r="Q62" i="41" s="1"/>
  <c r="L10" i="40"/>
  <c r="O10" i="40"/>
  <c r="L9" i="40"/>
  <c r="M13" i="40"/>
  <c r="N10" i="40"/>
  <c r="L13" i="40"/>
  <c r="O14" i="40"/>
  <c r="N13" i="40"/>
  <c r="N9" i="40"/>
  <c r="M14" i="40"/>
  <c r="O13" i="40"/>
  <c r="L14" i="40"/>
  <c r="N14" i="40"/>
  <c r="O9" i="40"/>
  <c r="M9" i="40"/>
  <c r="M10" i="40"/>
  <c r="P129" i="4"/>
  <c r="AN43" i="19"/>
  <c r="AO43" i="19" s="1"/>
  <c r="AP43" i="19" s="1"/>
  <c r="BQ43" i="19" s="1"/>
  <c r="BR43" i="19" s="1"/>
  <c r="BT43" i="19" s="1"/>
  <c r="AN79" i="19"/>
  <c r="AO79" i="19" s="1"/>
  <c r="AP79" i="19" s="1"/>
  <c r="BQ79" i="19" s="1"/>
  <c r="BS79" i="19" s="1"/>
  <c r="BQ24" i="19"/>
  <c r="BS24" i="19" s="1"/>
  <c r="P130" i="4"/>
  <c r="AN57" i="19"/>
  <c r="AO57" i="19" s="1"/>
  <c r="AP57" i="19" s="1"/>
  <c r="BQ57" i="19" s="1"/>
  <c r="BS57" i="19" s="1"/>
  <c r="AN71" i="19"/>
  <c r="AO71" i="19" s="1"/>
  <c r="AP71" i="19" s="1"/>
  <c r="BQ71" i="19" s="1"/>
  <c r="BR71" i="19" s="1"/>
  <c r="BT71" i="19" s="1"/>
  <c r="BS74" i="19"/>
  <c r="BR74" i="19"/>
  <c r="BT74" i="19" s="1"/>
  <c r="AV29" i="19"/>
  <c r="AK29" i="19"/>
  <c r="BR55" i="19"/>
  <c r="BT55" i="19" s="1"/>
  <c r="BS55" i="19"/>
  <c r="BS42" i="19"/>
  <c r="BR42" i="19"/>
  <c r="BT42" i="19" s="1"/>
  <c r="BH17" i="19"/>
  <c r="AP17" i="19"/>
  <c r="AG17" i="19"/>
  <c r="AP11" i="19"/>
  <c r="BH11" i="19"/>
  <c r="AG11" i="19"/>
  <c r="BH6" i="19"/>
  <c r="AP6" i="19"/>
  <c r="AG6" i="19"/>
  <c r="AY6" i="19" s="1"/>
  <c r="AK11" i="19"/>
  <c r="AT11" i="19"/>
  <c r="BC11" i="19" s="1"/>
  <c r="BL11" i="19"/>
  <c r="AK36" i="19"/>
  <c r="AV36" i="19"/>
  <c r="BL7" i="19"/>
  <c r="AK7" i="19"/>
  <c r="AT7" i="19"/>
  <c r="BC7" i="19" s="1"/>
  <c r="AK27" i="19"/>
  <c r="AN27" i="19" s="1"/>
  <c r="AO27" i="19" s="1"/>
  <c r="AP27" i="19" s="1"/>
  <c r="AV27" i="19"/>
  <c r="AY27" i="19" s="1"/>
  <c r="AZ27" i="19" s="1"/>
  <c r="BA27" i="19" s="1"/>
  <c r="BL5" i="19"/>
  <c r="AT5" i="19"/>
  <c r="BC5" i="19" s="1"/>
  <c r="AK5" i="19"/>
  <c r="BR53" i="19"/>
  <c r="BT53" i="19" s="1"/>
  <c r="BS53" i="19"/>
  <c r="BL6" i="19"/>
  <c r="AT6" i="19"/>
  <c r="BC6" i="19" s="1"/>
  <c r="AK6" i="19"/>
  <c r="AV28" i="19"/>
  <c r="AY28" i="19" s="1"/>
  <c r="AZ28" i="19" s="1"/>
  <c r="BA28" i="19" s="1"/>
  <c r="AK28" i="19"/>
  <c r="AN28" i="19" s="1"/>
  <c r="AO28" i="19" s="1"/>
  <c r="AP28" i="19" s="1"/>
  <c r="AX29" i="19"/>
  <c r="AM29" i="19"/>
  <c r="BS68" i="19"/>
  <c r="BR68" i="19"/>
  <c r="BT68" i="19" s="1"/>
  <c r="AK26" i="19"/>
  <c r="AN26" i="19" s="1"/>
  <c r="AO26" i="19" s="1"/>
  <c r="AP26" i="19" s="1"/>
  <c r="AV26" i="19"/>
  <c r="AY26" i="19" s="1"/>
  <c r="AZ26" i="19" s="1"/>
  <c r="BA26" i="19" s="1"/>
  <c r="BS46" i="19"/>
  <c r="BR46" i="19"/>
  <c r="BT46" i="19" s="1"/>
  <c r="BS67" i="19"/>
  <c r="BR67" i="19"/>
  <c r="BT67" i="19" s="1"/>
  <c r="AK33" i="19"/>
  <c r="AN33" i="19" s="1"/>
  <c r="AO33" i="19" s="1"/>
  <c r="AP33" i="19" s="1"/>
  <c r="AV33" i="19"/>
  <c r="AY33" i="19" s="1"/>
  <c r="AZ33" i="19" s="1"/>
  <c r="BA33" i="19" s="1"/>
  <c r="AN50" i="19"/>
  <c r="AO50" i="19" s="1"/>
  <c r="AP50" i="19" s="1"/>
  <c r="BQ50" i="19" s="1"/>
  <c r="BS54" i="19"/>
  <c r="BR54" i="19"/>
  <c r="BT54" i="19" s="1"/>
  <c r="BR49" i="19"/>
  <c r="BT49" i="19" s="1"/>
  <c r="BS49" i="19"/>
  <c r="AP20" i="19"/>
  <c r="BH20" i="19"/>
  <c r="AG20" i="19"/>
  <c r="BH12" i="19"/>
  <c r="AG12" i="19"/>
  <c r="AP12" i="19"/>
  <c r="BH14" i="19"/>
  <c r="AP14" i="19"/>
  <c r="AG14" i="19"/>
  <c r="AY14" i="19" s="1"/>
  <c r="BH19" i="19"/>
  <c r="AP19" i="19"/>
  <c r="AG19" i="19"/>
  <c r="BQ31" i="19"/>
  <c r="BS47" i="19"/>
  <c r="BR47" i="19"/>
  <c r="BT47" i="19" s="1"/>
  <c r="BR48" i="19"/>
  <c r="BT48" i="19" s="1"/>
  <c r="BS48" i="19"/>
  <c r="BS39" i="19"/>
  <c r="BR39" i="19"/>
  <c r="BT39" i="19" s="1"/>
  <c r="AX37" i="19"/>
  <c r="AM37" i="19"/>
  <c r="AN72" i="19"/>
  <c r="AO72" i="19" s="1"/>
  <c r="AP72" i="19" s="1"/>
  <c r="BQ72" i="19" s="1"/>
  <c r="AP5" i="19"/>
  <c r="AG5" i="19"/>
  <c r="AY5" i="19" s="1"/>
  <c r="BH5" i="19"/>
  <c r="BL17" i="19"/>
  <c r="AT17" i="19"/>
  <c r="BC17" i="19" s="1"/>
  <c r="AK17" i="19"/>
  <c r="BS63" i="19"/>
  <c r="BR63" i="19"/>
  <c r="BT63" i="19" s="1"/>
  <c r="BR70" i="19"/>
  <c r="BT70" i="19" s="1"/>
  <c r="BS70" i="19"/>
  <c r="AK15" i="19"/>
  <c r="AT15" i="19"/>
  <c r="BC15" i="19" s="1"/>
  <c r="BL15" i="19"/>
  <c r="BL14" i="19"/>
  <c r="AT14" i="19"/>
  <c r="BC14" i="19" s="1"/>
  <c r="AK14" i="19"/>
  <c r="AN51" i="19"/>
  <c r="AO51" i="19" s="1"/>
  <c r="AP51" i="19" s="1"/>
  <c r="BQ51" i="19" s="1"/>
  <c r="AK25" i="19"/>
  <c r="AN25" i="19" s="1"/>
  <c r="AO25" i="19" s="1"/>
  <c r="AP25" i="19" s="1"/>
  <c r="AV25" i="19"/>
  <c r="AY25" i="19" s="1"/>
  <c r="AZ25" i="19" s="1"/>
  <c r="BA25" i="19" s="1"/>
  <c r="AK16" i="19"/>
  <c r="AT16" i="19"/>
  <c r="BC16" i="19" s="1"/>
  <c r="BL16" i="19"/>
  <c r="AN65" i="19"/>
  <c r="AO65" i="19" s="1"/>
  <c r="AP65" i="19" s="1"/>
  <c r="BQ65" i="19" s="1"/>
  <c r="BR69" i="19"/>
  <c r="BT69" i="19" s="1"/>
  <c r="BS69" i="19"/>
  <c r="AT10" i="19"/>
  <c r="BC10" i="19" s="1"/>
  <c r="BL10" i="19"/>
  <c r="AK10" i="19"/>
  <c r="AV32" i="19"/>
  <c r="AY32" i="19" s="1"/>
  <c r="AZ32" i="19" s="1"/>
  <c r="BA32" i="19" s="1"/>
  <c r="AK32" i="19"/>
  <c r="AN32" i="19" s="1"/>
  <c r="AO32" i="19" s="1"/>
  <c r="AP32" i="19" s="1"/>
  <c r="AT20" i="19"/>
  <c r="BC20" i="19" s="1"/>
  <c r="BL20" i="19"/>
  <c r="AK20" i="19"/>
  <c r="AK30" i="19"/>
  <c r="AV30" i="19"/>
  <c r="AM36" i="19"/>
  <c r="AX36" i="19"/>
  <c r="AN58" i="19"/>
  <c r="AO58" i="19" s="1"/>
  <c r="AP58" i="19" s="1"/>
  <c r="BQ58" i="19" s="1"/>
  <c r="BS60" i="19"/>
  <c r="BR60" i="19"/>
  <c r="BT60" i="19" s="1"/>
  <c r="BH13" i="19"/>
  <c r="AG13" i="19"/>
  <c r="AP13" i="19"/>
  <c r="AG7" i="19"/>
  <c r="AY7" i="19" s="1"/>
  <c r="AP7" i="19"/>
  <c r="BH7" i="19"/>
  <c r="AP18" i="19"/>
  <c r="AG18" i="19"/>
  <c r="BH18" i="19"/>
  <c r="BH15" i="19"/>
  <c r="AG15" i="19"/>
  <c r="AY15" i="19" s="1"/>
  <c r="AP15" i="19"/>
  <c r="BS75" i="19"/>
  <c r="BR75" i="19"/>
  <c r="BT75" i="19" s="1"/>
  <c r="BR56" i="19"/>
  <c r="BT56" i="19" s="1"/>
  <c r="BS56" i="19"/>
  <c r="AK37" i="19"/>
  <c r="AV37" i="19"/>
  <c r="BS62" i="19"/>
  <c r="BR62" i="19"/>
  <c r="BT62" i="19" s="1"/>
  <c r="BS76" i="19"/>
  <c r="BR76" i="19"/>
  <c r="BT76" i="19" s="1"/>
  <c r="AK9" i="19"/>
  <c r="BL9" i="19"/>
  <c r="AT9" i="19"/>
  <c r="BC9" i="19" s="1"/>
  <c r="AX30" i="19"/>
  <c r="AM30" i="19"/>
  <c r="AT8" i="19"/>
  <c r="BC8" i="19" s="1"/>
  <c r="AK8" i="19"/>
  <c r="BL8" i="19"/>
  <c r="AK13" i="19"/>
  <c r="AT13" i="19"/>
  <c r="BC13" i="19" s="1"/>
  <c r="BL13" i="19"/>
  <c r="AN64" i="19"/>
  <c r="AO64" i="19" s="1"/>
  <c r="AP64" i="19" s="1"/>
  <c r="BQ64" i="19" s="1"/>
  <c r="AT12" i="19"/>
  <c r="BC12" i="19" s="1"/>
  <c r="AK12" i="19"/>
  <c r="BL12" i="19"/>
  <c r="BL19" i="19"/>
  <c r="AT19" i="19"/>
  <c r="BC19" i="19" s="1"/>
  <c r="AK19" i="19"/>
  <c r="BR77" i="19"/>
  <c r="BT77" i="19" s="1"/>
  <c r="BS77" i="19"/>
  <c r="BS41" i="19"/>
  <c r="BR41" i="19"/>
  <c r="BT41" i="19" s="1"/>
  <c r="BS40" i="19"/>
  <c r="BR40" i="19"/>
  <c r="BT40" i="19" s="1"/>
  <c r="BS61" i="19"/>
  <c r="BR61" i="19"/>
  <c r="BT61" i="19" s="1"/>
  <c r="AV35" i="19"/>
  <c r="AY35" i="19" s="1"/>
  <c r="AZ35" i="19" s="1"/>
  <c r="BA35" i="19" s="1"/>
  <c r="AK35" i="19"/>
  <c r="AN35" i="19" s="1"/>
  <c r="AO35" i="19" s="1"/>
  <c r="AP35" i="19" s="1"/>
  <c r="AK18" i="19"/>
  <c r="BL18" i="19"/>
  <c r="AT18" i="19"/>
  <c r="BC18" i="19" s="1"/>
  <c r="AV34" i="19"/>
  <c r="AY34" i="19" s="1"/>
  <c r="AZ34" i="19" s="1"/>
  <c r="BA34" i="19" s="1"/>
  <c r="AK34" i="19"/>
  <c r="AN34" i="19" s="1"/>
  <c r="AO34" i="19" s="1"/>
  <c r="AP34" i="19" s="1"/>
  <c r="AG8" i="19"/>
  <c r="AY8" i="19" s="1"/>
  <c r="BH8" i="19"/>
  <c r="AP8" i="19"/>
  <c r="BH16" i="19"/>
  <c r="AP16" i="19"/>
  <c r="AG16" i="19"/>
  <c r="AY16" i="19" s="1"/>
  <c r="AG9" i="19"/>
  <c r="BH9" i="19"/>
  <c r="AP9" i="19"/>
  <c r="BH10" i="19"/>
  <c r="AP10" i="19"/>
  <c r="AG10" i="19"/>
  <c r="BR44" i="19" l="1"/>
  <c r="BT44" i="19" s="1"/>
  <c r="BS78" i="19"/>
  <c r="R43" i="41"/>
  <c r="B74" i="41" s="1"/>
  <c r="Q43" i="42"/>
  <c r="F19" i="42" s="1"/>
  <c r="F21" i="42" s="1"/>
  <c r="P13" i="40"/>
  <c r="P10" i="40"/>
  <c r="P14" i="40"/>
  <c r="P9" i="40"/>
  <c r="Q53" i="41"/>
  <c r="P54" i="41"/>
  <c r="Q54" i="41" s="1"/>
  <c r="Q13" i="40"/>
  <c r="Q14" i="40"/>
  <c r="Q9" i="40"/>
  <c r="Q10" i="40"/>
  <c r="BR24" i="19"/>
  <c r="BT24" i="19" s="1"/>
  <c r="BR79" i="19"/>
  <c r="BT79" i="19" s="1"/>
  <c r="BS43" i="19"/>
  <c r="C96" i="19"/>
  <c r="C95" i="19"/>
  <c r="BS71" i="19"/>
  <c r="BR57" i="19"/>
  <c r="BT57" i="19" s="1"/>
  <c r="BM10" i="19"/>
  <c r="BN10" i="19" s="1"/>
  <c r="BO10" i="19" s="1"/>
  <c r="AY37" i="19"/>
  <c r="AZ37" i="19" s="1"/>
  <c r="BA37" i="19" s="1"/>
  <c r="BQ32" i="19"/>
  <c r="BS32" i="19" s="1"/>
  <c r="BM9" i="19"/>
  <c r="BN9" i="19" s="1"/>
  <c r="BO9" i="19" s="1"/>
  <c r="BQ34" i="19"/>
  <c r="BR34" i="19" s="1"/>
  <c r="BT34" i="19" s="1"/>
  <c r="BQ28" i="19"/>
  <c r="BS28" i="19" s="1"/>
  <c r="AN29" i="19"/>
  <c r="AO29" i="19" s="1"/>
  <c r="AP29" i="19" s="1"/>
  <c r="BM18" i="19"/>
  <c r="BN18" i="19" s="1"/>
  <c r="BO18" i="19" s="1"/>
  <c r="BQ25" i="19"/>
  <c r="BS25" i="19" s="1"/>
  <c r="AU10" i="19"/>
  <c r="AV10" i="19" s="1"/>
  <c r="AW10" i="19" s="1"/>
  <c r="AY20" i="19"/>
  <c r="BD20" i="19" s="1"/>
  <c r="BE20" i="19" s="1"/>
  <c r="BF20" i="19" s="1"/>
  <c r="AL20" i="19"/>
  <c r="AM20" i="19" s="1"/>
  <c r="AN20" i="19" s="1"/>
  <c r="AY9" i="19"/>
  <c r="BD9" i="19" s="1"/>
  <c r="BE9" i="19" s="1"/>
  <c r="BF9" i="19" s="1"/>
  <c r="AL9" i="19"/>
  <c r="AM9" i="19" s="1"/>
  <c r="AN9" i="19" s="1"/>
  <c r="BQ35" i="19"/>
  <c r="BR64" i="19"/>
  <c r="BT64" i="19" s="1"/>
  <c r="BS64" i="19"/>
  <c r="AL18" i="19"/>
  <c r="AM18" i="19" s="1"/>
  <c r="AN18" i="19" s="1"/>
  <c r="AY18" i="19"/>
  <c r="BD18" i="19" s="1"/>
  <c r="BE18" i="19" s="1"/>
  <c r="BF18" i="19" s="1"/>
  <c r="AY30" i="19"/>
  <c r="AZ30" i="19" s="1"/>
  <c r="BA30" i="19" s="1"/>
  <c r="BS65" i="19"/>
  <c r="BR65" i="19"/>
  <c r="BT65" i="19" s="1"/>
  <c r="BM19" i="19"/>
  <c r="BN19" i="19" s="1"/>
  <c r="BO19" i="19" s="1"/>
  <c r="AU12" i="19"/>
  <c r="AV12" i="19" s="1"/>
  <c r="AW12" i="19" s="1"/>
  <c r="BM20" i="19"/>
  <c r="BN20" i="19" s="1"/>
  <c r="BO20" i="19" s="1"/>
  <c r="BR50" i="19"/>
  <c r="BT50" i="19" s="1"/>
  <c r="BS50" i="19"/>
  <c r="BQ26" i="19"/>
  <c r="BQ27" i="19"/>
  <c r="AY36" i="19"/>
  <c r="AZ36" i="19" s="1"/>
  <c r="BA36" i="19" s="1"/>
  <c r="AY17" i="19"/>
  <c r="BD17" i="19" s="1"/>
  <c r="BE17" i="19" s="1"/>
  <c r="BF17" i="19" s="1"/>
  <c r="AL17" i="19"/>
  <c r="AM17" i="19" s="1"/>
  <c r="AN17" i="19" s="1"/>
  <c r="AY29" i="19"/>
  <c r="AZ29" i="19" s="1"/>
  <c r="BA29" i="19" s="1"/>
  <c r="AL10" i="19"/>
  <c r="AM10" i="19" s="1"/>
  <c r="AN10" i="19" s="1"/>
  <c r="AY10" i="19"/>
  <c r="BD10" i="19" s="1"/>
  <c r="BE10" i="19" s="1"/>
  <c r="BF10" i="19" s="1"/>
  <c r="AU19" i="19"/>
  <c r="AV19" i="19" s="1"/>
  <c r="AW19" i="19" s="1"/>
  <c r="AU18" i="19"/>
  <c r="AV18" i="19" s="1"/>
  <c r="AW18" i="19" s="1"/>
  <c r="BR58" i="19"/>
  <c r="BT58" i="19" s="1"/>
  <c r="BS58" i="19"/>
  <c r="AN30" i="19"/>
  <c r="AO30" i="19" s="1"/>
  <c r="AP30" i="19" s="1"/>
  <c r="BS31" i="19"/>
  <c r="BR31" i="19"/>
  <c r="BT31" i="19" s="1"/>
  <c r="AY12" i="19"/>
  <c r="BD12" i="19" s="1"/>
  <c r="BE12" i="19" s="1"/>
  <c r="BF12" i="19" s="1"/>
  <c r="AL12" i="19"/>
  <c r="AM12" i="19" s="1"/>
  <c r="AN12" i="19" s="1"/>
  <c r="AU20" i="19"/>
  <c r="AV20" i="19" s="1"/>
  <c r="AW20" i="19" s="1"/>
  <c r="AN36" i="19"/>
  <c r="AO36" i="19" s="1"/>
  <c r="AP36" i="19" s="1"/>
  <c r="AY11" i="19"/>
  <c r="BD11" i="19" s="1"/>
  <c r="BE11" i="19" s="1"/>
  <c r="BF11" i="19" s="1"/>
  <c r="AL11" i="19"/>
  <c r="AM11" i="19" s="1"/>
  <c r="AN11" i="19" s="1"/>
  <c r="AU17" i="19"/>
  <c r="AV17" i="19" s="1"/>
  <c r="AW17" i="19" s="1"/>
  <c r="AU11" i="19"/>
  <c r="AV11" i="19" s="1"/>
  <c r="AW11" i="19" s="1"/>
  <c r="AU9" i="19"/>
  <c r="AV9" i="19" s="1"/>
  <c r="AW9" i="19" s="1"/>
  <c r="AN37" i="19"/>
  <c r="AO37" i="19" s="1"/>
  <c r="AP37" i="19" s="1"/>
  <c r="AY13" i="19"/>
  <c r="BR51" i="19"/>
  <c r="BT51" i="19" s="1"/>
  <c r="BS51" i="19"/>
  <c r="BR72" i="19"/>
  <c r="BT72" i="19" s="1"/>
  <c r="BS72" i="19"/>
  <c r="AY19" i="19"/>
  <c r="BD19" i="19" s="1"/>
  <c r="BE19" i="19" s="1"/>
  <c r="BF19" i="19" s="1"/>
  <c r="AL19" i="19"/>
  <c r="AM19" i="19" s="1"/>
  <c r="AN19" i="19" s="1"/>
  <c r="BM12" i="19"/>
  <c r="BN12" i="19" s="1"/>
  <c r="BO12" i="19" s="1"/>
  <c r="BQ33" i="19"/>
  <c r="BM11" i="19"/>
  <c r="BN11" i="19" s="1"/>
  <c r="BO11" i="19" s="1"/>
  <c r="BM17" i="19"/>
  <c r="BN17" i="19" s="1"/>
  <c r="BO17" i="19" s="1"/>
  <c r="G5" i="40" l="1"/>
  <c r="AD8" i="4" s="1"/>
  <c r="N65" i="41"/>
  <c r="AB10" i="4" s="1"/>
  <c r="O65" i="41"/>
  <c r="AD10" i="4" s="1"/>
  <c r="L27" i="41"/>
  <c r="L28" i="41" s="1"/>
  <c r="R9" i="40"/>
  <c r="G4" i="40" s="1"/>
  <c r="BU66" i="19"/>
  <c r="BW66" i="19" s="1"/>
  <c r="E105" i="19" s="1"/>
  <c r="BS34" i="19"/>
  <c r="BQ30" i="19"/>
  <c r="BR30" i="19" s="1"/>
  <c r="BT30" i="19" s="1"/>
  <c r="BQ29" i="19"/>
  <c r="BS29" i="19" s="1"/>
  <c r="BQ37" i="19"/>
  <c r="BR37" i="19" s="1"/>
  <c r="BT37" i="19" s="1"/>
  <c r="S13" i="19"/>
  <c r="R14" i="19"/>
  <c r="R13" i="19"/>
  <c r="S6" i="19"/>
  <c r="S5" i="19"/>
  <c r="R5" i="19"/>
  <c r="R6" i="19"/>
  <c r="S14" i="19"/>
  <c r="P6" i="19"/>
  <c r="P5" i="19"/>
  <c r="P13" i="19"/>
  <c r="P14" i="19"/>
  <c r="BU52" i="19"/>
  <c r="BW52" i="19" s="1"/>
  <c r="BV52" i="19" s="1"/>
  <c r="BR25" i="19"/>
  <c r="BT25" i="19" s="1"/>
  <c r="BQ12" i="19"/>
  <c r="BS12" i="19" s="1"/>
  <c r="BR28" i="19"/>
  <c r="BT28" i="19" s="1"/>
  <c r="BR32" i="19"/>
  <c r="BT32" i="19" s="1"/>
  <c r="BQ10" i="19"/>
  <c r="BR10" i="19" s="1"/>
  <c r="BT10" i="19" s="1"/>
  <c r="BU38" i="19"/>
  <c r="BW38" i="19" s="1"/>
  <c r="E102" i="19" s="1"/>
  <c r="BQ18" i="19"/>
  <c r="BR18" i="19" s="1"/>
  <c r="BT18" i="19" s="1"/>
  <c r="BQ9" i="19"/>
  <c r="BS9" i="19" s="1"/>
  <c r="BQ19" i="19"/>
  <c r="BS19" i="19" s="1"/>
  <c r="BU59" i="19"/>
  <c r="BW59" i="19" s="1"/>
  <c r="E104" i="19" s="1"/>
  <c r="BS33" i="19"/>
  <c r="BR33" i="19"/>
  <c r="BT33" i="19" s="1"/>
  <c r="BR27" i="19"/>
  <c r="BT27" i="19" s="1"/>
  <c r="BS27" i="19"/>
  <c r="BQ36" i="19"/>
  <c r="BQ17" i="19"/>
  <c r="BS26" i="19"/>
  <c r="BR26" i="19"/>
  <c r="BT26" i="19" s="1"/>
  <c r="BQ20" i="19"/>
  <c r="BQ11" i="19"/>
  <c r="BR35" i="19"/>
  <c r="BT35" i="19" s="1"/>
  <c r="BS35" i="19"/>
  <c r="BV38" i="19" l="1"/>
  <c r="AC10" i="4"/>
  <c r="Q2" i="4" s="1"/>
  <c r="AB8" i="4"/>
  <c r="P65" i="41"/>
  <c r="I26" i="41" s="1"/>
  <c r="BV66" i="19"/>
  <c r="BS30" i="19"/>
  <c r="BR29" i="19"/>
  <c r="BT29" i="19" s="1"/>
  <c r="BU24" i="19" s="1"/>
  <c r="BW24" i="19" s="1"/>
  <c r="BV24" i="19" s="1"/>
  <c r="BS37" i="19"/>
  <c r="E103" i="19"/>
  <c r="T13" i="19"/>
  <c r="Q13" i="19" s="1"/>
  <c r="AR13" i="19" s="1"/>
  <c r="BJ13" i="19" s="1"/>
  <c r="BR12" i="19"/>
  <c r="BT12" i="19" s="1"/>
  <c r="T5" i="19"/>
  <c r="Q5" i="19" s="1"/>
  <c r="Q8" i="19" s="1"/>
  <c r="AQ14" i="19"/>
  <c r="AH14" i="19"/>
  <c r="AZ14" i="19" s="1"/>
  <c r="AQ13" i="19"/>
  <c r="BI13" i="19" s="1"/>
  <c r="AH13" i="19"/>
  <c r="AZ13" i="19" s="1"/>
  <c r="T6" i="19"/>
  <c r="Q6" i="19" s="1"/>
  <c r="AQ5" i="19"/>
  <c r="BI5" i="19" s="1"/>
  <c r="AH5" i="19"/>
  <c r="AZ5" i="19" s="1"/>
  <c r="T14" i="19"/>
  <c r="Q14" i="19" s="1"/>
  <c r="AQ6" i="19"/>
  <c r="BI6" i="19" s="1"/>
  <c r="AH6" i="19"/>
  <c r="AZ6" i="19" s="1"/>
  <c r="BR9" i="19"/>
  <c r="BT9" i="19" s="1"/>
  <c r="BU9" i="19" s="1"/>
  <c r="BW9" i="19" s="1"/>
  <c r="BR19" i="19"/>
  <c r="BT19" i="19" s="1"/>
  <c r="BS10" i="19"/>
  <c r="BV59" i="19"/>
  <c r="BS18" i="19"/>
  <c r="BR20" i="19"/>
  <c r="BT20" i="19" s="1"/>
  <c r="BS20" i="19"/>
  <c r="BS36" i="19"/>
  <c r="BR36" i="19"/>
  <c r="BT36" i="19" s="1"/>
  <c r="BU31" i="19" s="1"/>
  <c r="BW31" i="19" s="1"/>
  <c r="BR11" i="19"/>
  <c r="BT11" i="19" s="1"/>
  <c r="BS11" i="19"/>
  <c r="BS17" i="19"/>
  <c r="BR17" i="19"/>
  <c r="BT17" i="19" s="1"/>
  <c r="BU17" i="19" s="1"/>
  <c r="BW17" i="19" s="1"/>
  <c r="AF94" i="4" l="1"/>
  <c r="I46" i="4"/>
  <c r="AH70" i="4"/>
  <c r="L37" i="4"/>
  <c r="BM13" i="19"/>
  <c r="BN13" i="19" s="1"/>
  <c r="BO13" i="19" s="1"/>
  <c r="P16" i="19"/>
  <c r="AQ16" i="19" s="1"/>
  <c r="BI16" i="19" s="1"/>
  <c r="P15" i="19"/>
  <c r="AH15" i="19" s="1"/>
  <c r="Q16" i="19"/>
  <c r="AI16" i="19" s="1"/>
  <c r="AI13" i="19"/>
  <c r="BA13" i="19" s="1"/>
  <c r="BD13" i="19" s="1"/>
  <c r="BE13" i="19" s="1"/>
  <c r="BF13" i="19" s="1"/>
  <c r="Q15" i="19"/>
  <c r="BU19" i="19"/>
  <c r="BW19" i="19" s="1"/>
  <c r="E99" i="19" s="1"/>
  <c r="BU11" i="19"/>
  <c r="BW11" i="19" s="1"/>
  <c r="E95" i="19" s="1"/>
  <c r="P7" i="19"/>
  <c r="AH7" i="19" s="1"/>
  <c r="AZ7" i="19" s="1"/>
  <c r="AU13" i="19"/>
  <c r="AV13" i="19" s="1"/>
  <c r="AW13" i="19" s="1"/>
  <c r="Q7" i="19"/>
  <c r="P8" i="19"/>
  <c r="E100" i="19"/>
  <c r="AR5" i="19"/>
  <c r="BJ5" i="19" s="1"/>
  <c r="BM5" i="19" s="1"/>
  <c r="BN5" i="19" s="1"/>
  <c r="BO5" i="19" s="1"/>
  <c r="AI5" i="19"/>
  <c r="BA5" i="19" s="1"/>
  <c r="BD5" i="19" s="1"/>
  <c r="BE5" i="19" s="1"/>
  <c r="BF5" i="19" s="1"/>
  <c r="AR14" i="19"/>
  <c r="BJ14" i="19" s="1"/>
  <c r="AI14" i="19"/>
  <c r="AI6" i="19"/>
  <c r="AR6" i="19"/>
  <c r="BI14" i="19"/>
  <c r="AR8" i="19"/>
  <c r="BJ8" i="19" s="1"/>
  <c r="AI8" i="19"/>
  <c r="BA8" i="19" s="1"/>
  <c r="E101" i="19"/>
  <c r="BV31" i="19"/>
  <c r="E98" i="19"/>
  <c r="BV17" i="19"/>
  <c r="E94" i="19"/>
  <c r="BV9" i="19"/>
  <c r="AL13" i="19" l="1"/>
  <c r="AM13" i="19" s="1"/>
  <c r="AN13" i="19" s="1"/>
  <c r="BQ13" i="19" s="1"/>
  <c r="BR13" i="19" s="1"/>
  <c r="BT13" i="19" s="1"/>
  <c r="AH16" i="19"/>
  <c r="AZ16" i="19" s="1"/>
  <c r="AQ15" i="19"/>
  <c r="BI15" i="19" s="1"/>
  <c r="BV19" i="19"/>
  <c r="AQ7" i="19"/>
  <c r="BI7" i="19" s="1"/>
  <c r="AR16" i="19"/>
  <c r="BJ16" i="19" s="1"/>
  <c r="BM16" i="19" s="1"/>
  <c r="BN16" i="19" s="1"/>
  <c r="BO16" i="19" s="1"/>
  <c r="BV11" i="19"/>
  <c r="AI15" i="19"/>
  <c r="BA15" i="19" s="1"/>
  <c r="AR15" i="19"/>
  <c r="BJ15" i="19" s="1"/>
  <c r="AU5" i="19"/>
  <c r="AV5" i="19" s="1"/>
  <c r="AW5" i="19" s="1"/>
  <c r="AI7" i="19"/>
  <c r="BA7" i="19" s="1"/>
  <c r="BD7" i="19" s="1"/>
  <c r="AR7" i="19"/>
  <c r="BJ7" i="19" s="1"/>
  <c r="AH8" i="19"/>
  <c r="AQ8" i="19"/>
  <c r="AL5" i="19"/>
  <c r="AM5" i="19" s="1"/>
  <c r="AN5" i="19" s="1"/>
  <c r="BA16" i="19"/>
  <c r="BJ6" i="19"/>
  <c r="BM6" i="19" s="1"/>
  <c r="BN6" i="19" s="1"/>
  <c r="BO6" i="19" s="1"/>
  <c r="AU6" i="19"/>
  <c r="AV6" i="19" s="1"/>
  <c r="AW6" i="19" s="1"/>
  <c r="BM14" i="19"/>
  <c r="BN14" i="19" s="1"/>
  <c r="BO14" i="19" s="1"/>
  <c r="BA6" i="19"/>
  <c r="BD6" i="19" s="1"/>
  <c r="BE6" i="19" s="1"/>
  <c r="BF6" i="19" s="1"/>
  <c r="AL6" i="19"/>
  <c r="AM6" i="19" s="1"/>
  <c r="AN6" i="19" s="1"/>
  <c r="AZ15" i="19"/>
  <c r="AU14" i="19"/>
  <c r="AV14" i="19" s="1"/>
  <c r="AW14" i="19" s="1"/>
  <c r="BA14" i="19"/>
  <c r="BD14" i="19" s="1"/>
  <c r="BE14" i="19" s="1"/>
  <c r="BF14" i="19" s="1"/>
  <c r="AL14" i="19"/>
  <c r="AM14" i="19" s="1"/>
  <c r="AN14" i="19" s="1"/>
  <c r="AL16" i="19" l="1"/>
  <c r="AM16" i="19" s="1"/>
  <c r="AN16" i="19" s="1"/>
  <c r="BM7" i="19"/>
  <c r="BN7" i="19" s="1"/>
  <c r="BO7" i="19" s="1"/>
  <c r="BD16" i="19"/>
  <c r="BE16" i="19" s="1"/>
  <c r="BF16" i="19" s="1"/>
  <c r="AU15" i="19"/>
  <c r="AV15" i="19" s="1"/>
  <c r="AW15" i="19" s="1"/>
  <c r="BE7" i="19"/>
  <c r="BF7" i="19" s="1"/>
  <c r="AU16" i="19"/>
  <c r="AV16" i="19" s="1"/>
  <c r="AW16" i="19" s="1"/>
  <c r="BM15" i="19"/>
  <c r="BN15" i="19" s="1"/>
  <c r="BO15" i="19" s="1"/>
  <c r="BD15" i="19"/>
  <c r="BE15" i="19" s="1"/>
  <c r="BF15" i="19" s="1"/>
  <c r="AL15" i="19"/>
  <c r="AM15" i="19" s="1"/>
  <c r="AN15" i="19" s="1"/>
  <c r="BS13" i="19"/>
  <c r="BQ5" i="19"/>
  <c r="BR5" i="19" s="1"/>
  <c r="AU7" i="19"/>
  <c r="AV7" i="19" s="1"/>
  <c r="AW7" i="19" s="1"/>
  <c r="AL7" i="19"/>
  <c r="AM7" i="19" s="1"/>
  <c r="AN7" i="19" s="1"/>
  <c r="BQ6" i="19"/>
  <c r="BS6" i="19" s="1"/>
  <c r="BQ14" i="19"/>
  <c r="BR14" i="19" s="1"/>
  <c r="BT14" i="19" s="1"/>
  <c r="BU13" i="19" s="1"/>
  <c r="BW13" i="19" s="1"/>
  <c r="BV13" i="19" s="1"/>
  <c r="AZ8" i="19"/>
  <c r="BD8" i="19" s="1"/>
  <c r="AL8" i="19"/>
  <c r="AM8" i="19" s="1"/>
  <c r="AN8" i="19" s="1"/>
  <c r="AU8" i="19"/>
  <c r="AV8" i="19" s="1"/>
  <c r="AW8" i="19" s="1"/>
  <c r="BI8" i="19"/>
  <c r="BM8" i="19" s="1"/>
  <c r="BQ16" i="19" l="1"/>
  <c r="BR16" i="19" s="1"/>
  <c r="BT16" i="19" s="1"/>
  <c r="BE8" i="19"/>
  <c r="BF8" i="19" s="1"/>
  <c r="BN8" i="19"/>
  <c r="BO8" i="19" s="1"/>
  <c r="BQ15" i="19"/>
  <c r="BS15" i="19" s="1"/>
  <c r="BS5" i="19"/>
  <c r="BQ7" i="19"/>
  <c r="BR7" i="19" s="1"/>
  <c r="BT7" i="19" s="1"/>
  <c r="BS14" i="19"/>
  <c r="E96" i="19"/>
  <c r="BR6" i="19"/>
  <c r="BT5" i="19"/>
  <c r="BS16" i="19" l="1"/>
  <c r="F106" i="19"/>
  <c r="BR15" i="19"/>
  <c r="BT15" i="19" s="1"/>
  <c r="BU15" i="19" s="1"/>
  <c r="BW15" i="19" s="1"/>
  <c r="F100" i="19"/>
  <c r="F104" i="19"/>
  <c r="F105" i="19"/>
  <c r="BQ8" i="19"/>
  <c r="BS8" i="19" s="1"/>
  <c r="F102" i="19"/>
  <c r="F103" i="19"/>
  <c r="BT6" i="19"/>
  <c r="BU5" i="19" s="1"/>
  <c r="BW5" i="19" s="1"/>
  <c r="BS7" i="19"/>
  <c r="BR8" i="19" l="1"/>
  <c r="BV5" i="19"/>
  <c r="E92" i="19"/>
  <c r="E97" i="19"/>
  <c r="BV15" i="19"/>
  <c r="F97" i="19" l="1"/>
  <c r="F96" i="19"/>
  <c r="F101" i="19"/>
  <c r="F98" i="19"/>
  <c r="F94" i="19"/>
  <c r="F95" i="19"/>
  <c r="F99" i="19"/>
  <c r="BT8" i="19"/>
  <c r="BU7" i="19" s="1"/>
  <c r="BW7" i="19" s="1"/>
  <c r="E93" i="19" s="1"/>
  <c r="F93" i="19" s="1"/>
  <c r="F92" i="19"/>
  <c r="BV7" i="19" l="1"/>
  <c r="F107" i="19"/>
  <c r="AD7" i="4" s="1"/>
  <c r="E107" i="19"/>
  <c r="AB7" i="4" l="1"/>
  <c r="E65" i="6" l="1"/>
  <c r="P56" i="4" l="1"/>
  <c r="O54" i="4"/>
  <c r="O57" i="4" s="1"/>
  <c r="P54" i="4" l="1"/>
  <c r="P5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Full name</author>
  </authors>
  <commentList>
    <comment ref="B2" authorId="0" shapeId="0" xr:uid="{00000000-0006-0000-0000-000001000000}">
      <text>
        <r>
          <rPr>
            <b/>
            <sz val="8"/>
            <color indexed="81"/>
            <rFont val="Tahoma"/>
            <family val="2"/>
          </rPr>
          <t>Rodrigo:</t>
        </r>
        <r>
          <rPr>
            <sz val="8"/>
            <color indexed="81"/>
            <rFont val="Tahoma"/>
            <family val="2"/>
          </rPr>
          <t xml:space="preserve">
Se han puesto los tamices que la norma UNE 103101/95 considera que pueden ser idóneos.</t>
        </r>
      </text>
    </comment>
    <comment ref="C2" authorId="1" shapeId="0" xr:uid="{00000000-0006-0000-0000-000002000000}">
      <text>
        <r>
          <rPr>
            <b/>
            <sz val="8"/>
            <color indexed="81"/>
            <rFont val="Tahoma"/>
            <family val="2"/>
          </rPr>
          <t>Rodrigo:</t>
        </r>
        <r>
          <rPr>
            <sz val="8"/>
            <color indexed="81"/>
            <rFont val="Tahoma"/>
            <family val="2"/>
          </rPr>
          <t xml:space="preserve">
Se introducen los porcentajes que pasan por cada tamiz; no es necesario poner el porcentaje cuando este es igual al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GMI</author>
  </authors>
  <commentList>
    <comment ref="L9" authorId="0" shapeId="0" xr:uid="{00000000-0006-0000-0200-000001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GW</t>
        </r>
        <r>
          <rPr>
            <b/>
            <sz val="14"/>
            <color indexed="81"/>
            <rFont val="Arial Black"/>
            <family val="2"/>
          </rPr>
          <t xml:space="preserve"> </t>
        </r>
        <r>
          <rPr>
            <b/>
            <sz val="14"/>
            <color indexed="81"/>
            <rFont val="Tahoma"/>
            <family val="2"/>
          </rPr>
          <t xml:space="preserve"> </t>
        </r>
      </text>
    </comment>
    <comment ref="M9" authorId="0" shapeId="0" xr:uid="{00000000-0006-0000-0200-000002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GW-GC</t>
        </r>
        <r>
          <rPr>
            <b/>
            <sz val="14"/>
            <color indexed="81"/>
            <rFont val="Arial Black"/>
            <family val="2"/>
          </rPr>
          <t xml:space="preserve"> </t>
        </r>
        <r>
          <rPr>
            <b/>
            <sz val="14"/>
            <color indexed="81"/>
            <rFont val="Tahoma"/>
            <family val="2"/>
          </rPr>
          <t xml:space="preserve"> </t>
        </r>
      </text>
    </comment>
    <comment ref="N9" authorId="0" shapeId="0" xr:uid="{00000000-0006-0000-0200-000003000000}">
      <text>
        <r>
          <rPr>
            <b/>
            <sz val="8"/>
            <color indexed="81"/>
            <rFont val="Tahoma"/>
            <family val="2"/>
          </rPr>
          <t>Rodrigo:</t>
        </r>
        <r>
          <rPr>
            <sz val="8"/>
            <color indexed="81"/>
            <rFont val="Tahoma"/>
            <family val="2"/>
          </rPr>
          <t xml:space="preserve">
</t>
        </r>
        <r>
          <rPr>
            <sz val="14"/>
            <color indexed="81"/>
            <rFont val="Arial Black"/>
            <family val="2"/>
          </rPr>
          <t>GW-GM</t>
        </r>
        <r>
          <rPr>
            <b/>
            <sz val="14"/>
            <color indexed="81"/>
            <rFont val="Arial Black"/>
            <family val="2"/>
          </rPr>
          <t xml:space="preserve"> </t>
        </r>
        <r>
          <rPr>
            <b/>
            <sz val="14"/>
            <color indexed="81"/>
            <rFont val="Tahoma"/>
            <family val="2"/>
          </rPr>
          <t xml:space="preserve"> </t>
        </r>
      </text>
    </comment>
    <comment ref="O9" authorId="0" shapeId="0" xr:uid="{00000000-0006-0000-0200-000004000000}">
      <text>
        <r>
          <rPr>
            <b/>
            <sz val="8"/>
            <color indexed="81"/>
            <rFont val="Tahoma"/>
            <family val="2"/>
          </rPr>
          <t>Rodrigo:</t>
        </r>
        <r>
          <rPr>
            <sz val="8"/>
            <color indexed="81"/>
            <rFont val="Tahoma"/>
            <family val="2"/>
          </rPr>
          <t xml:space="preserve">
</t>
        </r>
        <r>
          <rPr>
            <sz val="14"/>
            <color indexed="81"/>
            <rFont val="Arial Black"/>
            <family val="2"/>
          </rPr>
          <t>GW-GC-GM</t>
        </r>
      </text>
    </comment>
    <comment ref="L10" authorId="0" shapeId="0" xr:uid="{00000000-0006-0000-0200-000005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GP</t>
        </r>
        <r>
          <rPr>
            <b/>
            <sz val="14"/>
            <color indexed="81"/>
            <rFont val="Arial Black"/>
            <family val="2"/>
          </rPr>
          <t xml:space="preserve"> </t>
        </r>
        <r>
          <rPr>
            <b/>
            <sz val="14"/>
            <color indexed="81"/>
            <rFont val="Tahoma"/>
            <family val="2"/>
          </rPr>
          <t xml:space="preserve"> </t>
        </r>
      </text>
    </comment>
    <comment ref="M10" authorId="0" shapeId="0" xr:uid="{00000000-0006-0000-0200-000006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GP-GC</t>
        </r>
        <r>
          <rPr>
            <b/>
            <sz val="14"/>
            <color indexed="81"/>
            <rFont val="Arial Black"/>
            <family val="2"/>
          </rPr>
          <t xml:space="preserve"> </t>
        </r>
        <r>
          <rPr>
            <b/>
            <sz val="14"/>
            <color indexed="81"/>
            <rFont val="Tahoma"/>
            <family val="2"/>
          </rPr>
          <t xml:space="preserve"> </t>
        </r>
      </text>
    </comment>
    <comment ref="N10" authorId="0" shapeId="0" xr:uid="{00000000-0006-0000-0200-000007000000}">
      <text>
        <r>
          <rPr>
            <b/>
            <sz val="8"/>
            <color indexed="81"/>
            <rFont val="Tahoma"/>
            <family val="2"/>
          </rPr>
          <t>Rodrigo:</t>
        </r>
        <r>
          <rPr>
            <sz val="8"/>
            <color indexed="81"/>
            <rFont val="Tahoma"/>
            <family val="2"/>
          </rPr>
          <t xml:space="preserve">
</t>
        </r>
        <r>
          <rPr>
            <sz val="14"/>
            <color indexed="81"/>
            <rFont val="Arial Black"/>
            <family val="2"/>
          </rPr>
          <t>GP-GM</t>
        </r>
        <r>
          <rPr>
            <b/>
            <sz val="14"/>
            <color indexed="81"/>
            <rFont val="Arial Black"/>
            <family val="2"/>
          </rPr>
          <t xml:space="preserve"> </t>
        </r>
        <r>
          <rPr>
            <b/>
            <sz val="14"/>
            <color indexed="81"/>
            <rFont val="Tahoma"/>
            <family val="2"/>
          </rPr>
          <t xml:space="preserve"> </t>
        </r>
      </text>
    </comment>
    <comment ref="O10" authorId="0" shapeId="0" xr:uid="{00000000-0006-0000-0200-000008000000}">
      <text>
        <r>
          <rPr>
            <b/>
            <sz val="8"/>
            <color indexed="81"/>
            <rFont val="Tahoma"/>
            <family val="2"/>
          </rPr>
          <t>Rodrigo:</t>
        </r>
        <r>
          <rPr>
            <sz val="8"/>
            <color indexed="81"/>
            <rFont val="Tahoma"/>
            <family val="2"/>
          </rPr>
          <t xml:space="preserve">
</t>
        </r>
        <r>
          <rPr>
            <sz val="14"/>
            <color indexed="81"/>
            <rFont val="Arial Black"/>
            <family val="2"/>
          </rPr>
          <t>GP-GC-GM</t>
        </r>
      </text>
    </comment>
    <comment ref="L11" authorId="0" shapeId="0" xr:uid="{00000000-0006-0000-0200-000009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GM</t>
        </r>
        <r>
          <rPr>
            <b/>
            <sz val="14"/>
            <color indexed="81"/>
            <rFont val="Arial Black"/>
            <family val="2"/>
          </rPr>
          <t xml:space="preserve"> </t>
        </r>
        <r>
          <rPr>
            <b/>
            <sz val="14"/>
            <color indexed="81"/>
            <rFont val="Tahoma"/>
            <family val="2"/>
          </rPr>
          <t xml:space="preserve"> </t>
        </r>
      </text>
    </comment>
    <comment ref="M11" authorId="0" shapeId="0" xr:uid="{00000000-0006-0000-0200-00000A000000}">
      <text>
        <r>
          <rPr>
            <b/>
            <sz val="8"/>
            <color indexed="81"/>
            <rFont val="Tahoma"/>
            <family val="2"/>
          </rPr>
          <t>Rodrigo:</t>
        </r>
        <r>
          <rPr>
            <sz val="8"/>
            <color indexed="81"/>
            <rFont val="Tahoma"/>
            <family val="2"/>
          </rPr>
          <t xml:space="preserve">
</t>
        </r>
        <r>
          <rPr>
            <sz val="14"/>
            <color indexed="81"/>
            <rFont val="Arial Black"/>
            <family val="2"/>
          </rPr>
          <t>GM-GC</t>
        </r>
        <r>
          <rPr>
            <b/>
            <sz val="14"/>
            <color indexed="81"/>
            <rFont val="Arial Black"/>
            <family val="2"/>
          </rPr>
          <t xml:space="preserve"> </t>
        </r>
        <r>
          <rPr>
            <b/>
            <sz val="14"/>
            <color indexed="81"/>
            <rFont val="Tahoma"/>
            <family val="2"/>
          </rPr>
          <t xml:space="preserve"> </t>
        </r>
      </text>
    </comment>
    <comment ref="L12" authorId="0" shapeId="0" xr:uid="{00000000-0006-0000-0200-00000B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GC</t>
        </r>
        <r>
          <rPr>
            <b/>
            <sz val="14"/>
            <color indexed="81"/>
            <rFont val="Arial Black"/>
            <family val="2"/>
          </rPr>
          <t xml:space="preserve"> </t>
        </r>
        <r>
          <rPr>
            <b/>
            <sz val="14"/>
            <color indexed="81"/>
            <rFont val="Tahoma"/>
            <family val="2"/>
          </rPr>
          <t xml:space="preserve"> </t>
        </r>
      </text>
    </comment>
    <comment ref="L13" authorId="0" shapeId="0" xr:uid="{00000000-0006-0000-0200-00000C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SW</t>
        </r>
        <r>
          <rPr>
            <b/>
            <sz val="14"/>
            <color indexed="81"/>
            <rFont val="Arial Black"/>
            <family val="2"/>
          </rPr>
          <t xml:space="preserve"> </t>
        </r>
        <r>
          <rPr>
            <b/>
            <sz val="14"/>
            <color indexed="81"/>
            <rFont val="Tahoma"/>
            <family val="2"/>
          </rPr>
          <t xml:space="preserve"> </t>
        </r>
      </text>
    </comment>
    <comment ref="M13" authorId="0" shapeId="0" xr:uid="{00000000-0006-0000-0200-00000D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SW-SC</t>
        </r>
        <r>
          <rPr>
            <b/>
            <sz val="14"/>
            <color indexed="81"/>
            <rFont val="Arial Black"/>
            <family val="2"/>
          </rPr>
          <t xml:space="preserve"> </t>
        </r>
        <r>
          <rPr>
            <b/>
            <sz val="14"/>
            <color indexed="81"/>
            <rFont val="Tahoma"/>
            <family val="2"/>
          </rPr>
          <t xml:space="preserve"> </t>
        </r>
      </text>
    </comment>
    <comment ref="N13" authorId="0" shapeId="0" xr:uid="{00000000-0006-0000-0200-00000E000000}">
      <text>
        <r>
          <rPr>
            <b/>
            <sz val="8"/>
            <color indexed="81"/>
            <rFont val="Tahoma"/>
            <family val="2"/>
          </rPr>
          <t>Rodrigo:</t>
        </r>
        <r>
          <rPr>
            <sz val="8"/>
            <color indexed="81"/>
            <rFont val="Tahoma"/>
            <family val="2"/>
          </rPr>
          <t xml:space="preserve">
</t>
        </r>
        <r>
          <rPr>
            <sz val="14"/>
            <color indexed="81"/>
            <rFont val="Arial Black"/>
            <family val="2"/>
          </rPr>
          <t>SW-SM</t>
        </r>
        <r>
          <rPr>
            <b/>
            <sz val="14"/>
            <color indexed="81"/>
            <rFont val="Arial Black"/>
            <family val="2"/>
          </rPr>
          <t xml:space="preserve"> </t>
        </r>
        <r>
          <rPr>
            <b/>
            <sz val="14"/>
            <color indexed="81"/>
            <rFont val="Tahoma"/>
            <family val="2"/>
          </rPr>
          <t xml:space="preserve"> </t>
        </r>
      </text>
    </comment>
    <comment ref="O13" authorId="0" shapeId="0" xr:uid="{00000000-0006-0000-0200-00000F000000}">
      <text>
        <r>
          <rPr>
            <b/>
            <sz val="8"/>
            <color indexed="81"/>
            <rFont val="Tahoma"/>
            <family val="2"/>
          </rPr>
          <t>Rodrigo:</t>
        </r>
        <r>
          <rPr>
            <sz val="8"/>
            <color indexed="81"/>
            <rFont val="Tahoma"/>
            <family val="2"/>
          </rPr>
          <t xml:space="preserve">
</t>
        </r>
        <r>
          <rPr>
            <sz val="14"/>
            <color indexed="81"/>
            <rFont val="Arial Black"/>
            <family val="2"/>
          </rPr>
          <t>SW-SC-SM</t>
        </r>
      </text>
    </comment>
    <comment ref="L14" authorId="0" shapeId="0" xr:uid="{00000000-0006-0000-0200-000010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SP</t>
        </r>
        <r>
          <rPr>
            <b/>
            <sz val="14"/>
            <color indexed="81"/>
            <rFont val="Arial Black"/>
            <family val="2"/>
          </rPr>
          <t xml:space="preserve"> </t>
        </r>
        <r>
          <rPr>
            <b/>
            <sz val="14"/>
            <color indexed="81"/>
            <rFont val="Tahoma"/>
            <family val="2"/>
          </rPr>
          <t xml:space="preserve"> </t>
        </r>
      </text>
    </comment>
    <comment ref="M14" authorId="0" shapeId="0" xr:uid="{00000000-0006-0000-0200-000011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SP-SC</t>
        </r>
        <r>
          <rPr>
            <b/>
            <sz val="14"/>
            <color indexed="81"/>
            <rFont val="Arial Black"/>
            <family val="2"/>
          </rPr>
          <t xml:space="preserve"> </t>
        </r>
        <r>
          <rPr>
            <b/>
            <sz val="14"/>
            <color indexed="81"/>
            <rFont val="Tahoma"/>
            <family val="2"/>
          </rPr>
          <t xml:space="preserve"> </t>
        </r>
      </text>
    </comment>
    <comment ref="N14" authorId="0" shapeId="0" xr:uid="{00000000-0006-0000-0200-000012000000}">
      <text>
        <r>
          <rPr>
            <b/>
            <sz val="8"/>
            <color indexed="81"/>
            <rFont val="Tahoma"/>
            <family val="2"/>
          </rPr>
          <t>Rodrigo:</t>
        </r>
        <r>
          <rPr>
            <sz val="8"/>
            <color indexed="81"/>
            <rFont val="Tahoma"/>
            <family val="2"/>
          </rPr>
          <t xml:space="preserve">
</t>
        </r>
        <r>
          <rPr>
            <sz val="14"/>
            <color indexed="81"/>
            <rFont val="Arial Black"/>
            <family val="2"/>
          </rPr>
          <t>SP-SM</t>
        </r>
        <r>
          <rPr>
            <b/>
            <sz val="14"/>
            <color indexed="81"/>
            <rFont val="Arial Black"/>
            <family val="2"/>
          </rPr>
          <t xml:space="preserve"> </t>
        </r>
        <r>
          <rPr>
            <b/>
            <sz val="14"/>
            <color indexed="81"/>
            <rFont val="Tahoma"/>
            <family val="2"/>
          </rPr>
          <t xml:space="preserve"> </t>
        </r>
      </text>
    </comment>
    <comment ref="O14" authorId="0" shapeId="0" xr:uid="{00000000-0006-0000-0200-000013000000}">
      <text>
        <r>
          <rPr>
            <b/>
            <sz val="8"/>
            <color indexed="81"/>
            <rFont val="Tahoma"/>
            <family val="2"/>
          </rPr>
          <t>Rodrigo:</t>
        </r>
        <r>
          <rPr>
            <sz val="8"/>
            <color indexed="81"/>
            <rFont val="Tahoma"/>
            <family val="2"/>
          </rPr>
          <t xml:space="preserve">
</t>
        </r>
        <r>
          <rPr>
            <sz val="14"/>
            <color indexed="81"/>
            <rFont val="Arial Black"/>
            <family val="2"/>
          </rPr>
          <t>SP-SC-SM</t>
        </r>
      </text>
    </comment>
    <comment ref="L15" authorId="0" shapeId="0" xr:uid="{00000000-0006-0000-0200-000014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SM</t>
        </r>
        <r>
          <rPr>
            <b/>
            <sz val="14"/>
            <color indexed="81"/>
            <rFont val="Arial Black"/>
            <family val="2"/>
          </rPr>
          <t xml:space="preserve"> </t>
        </r>
        <r>
          <rPr>
            <b/>
            <sz val="14"/>
            <color indexed="81"/>
            <rFont val="Tahoma"/>
            <family val="2"/>
          </rPr>
          <t xml:space="preserve"> </t>
        </r>
      </text>
    </comment>
    <comment ref="M15" authorId="0" shapeId="0" xr:uid="{00000000-0006-0000-0200-000015000000}">
      <text>
        <r>
          <rPr>
            <b/>
            <sz val="8"/>
            <color indexed="81"/>
            <rFont val="Tahoma"/>
            <family val="2"/>
          </rPr>
          <t>Rodrigo:</t>
        </r>
        <r>
          <rPr>
            <sz val="8"/>
            <color indexed="81"/>
            <rFont val="Tahoma"/>
            <family val="2"/>
          </rPr>
          <t xml:space="preserve">
</t>
        </r>
        <r>
          <rPr>
            <sz val="14"/>
            <color indexed="81"/>
            <rFont val="Arial Black"/>
            <family val="2"/>
          </rPr>
          <t>SM-SC</t>
        </r>
        <r>
          <rPr>
            <b/>
            <sz val="14"/>
            <color indexed="81"/>
            <rFont val="Tahoma"/>
            <family val="2"/>
          </rPr>
          <t xml:space="preserve"> </t>
        </r>
      </text>
    </comment>
    <comment ref="L16" authorId="0" shapeId="0" xr:uid="{00000000-0006-0000-0200-000016000000}">
      <text>
        <r>
          <rPr>
            <b/>
            <sz val="8"/>
            <color indexed="81"/>
            <rFont val="Tahoma"/>
            <family val="2"/>
          </rPr>
          <t>Rodrigo:</t>
        </r>
        <r>
          <rPr>
            <sz val="8"/>
            <color indexed="81"/>
            <rFont val="Tahoma"/>
            <family val="2"/>
          </rPr>
          <t xml:space="preserve">
 </t>
        </r>
        <r>
          <rPr>
            <sz val="8"/>
            <color indexed="81"/>
            <rFont val="Arial Black"/>
            <family val="2"/>
          </rPr>
          <t xml:space="preserve">  </t>
        </r>
        <r>
          <rPr>
            <sz val="14"/>
            <color indexed="81"/>
            <rFont val="Arial Black"/>
            <family val="2"/>
          </rPr>
          <t>SC</t>
        </r>
        <r>
          <rPr>
            <b/>
            <sz val="14"/>
            <color indexed="81"/>
            <rFont val="Arial Black"/>
            <family val="2"/>
          </rPr>
          <t xml:space="preserve"> </t>
        </r>
        <r>
          <rPr>
            <b/>
            <sz val="14"/>
            <color indexed="81"/>
            <rFont val="Tahoma"/>
            <family val="2"/>
          </rPr>
          <t xml:space="preserve"> </t>
        </r>
      </text>
    </comment>
    <comment ref="L17" authorId="0" shapeId="0" xr:uid="{00000000-0006-0000-0200-000017000000}">
      <text>
        <r>
          <rPr>
            <b/>
            <sz val="8"/>
            <color indexed="81"/>
            <rFont val="Tahoma"/>
            <family val="2"/>
          </rPr>
          <t>Rodrigo:</t>
        </r>
        <r>
          <rPr>
            <sz val="8"/>
            <color indexed="81"/>
            <rFont val="Tahoma"/>
            <family val="2"/>
          </rPr>
          <t xml:space="preserve">
 </t>
        </r>
        <r>
          <rPr>
            <sz val="14"/>
            <color indexed="81"/>
            <rFont val="Arial Black"/>
            <family val="2"/>
          </rPr>
          <t>ML</t>
        </r>
        <r>
          <rPr>
            <b/>
            <sz val="14"/>
            <color indexed="81"/>
            <rFont val="Arial Black"/>
            <family val="2"/>
          </rPr>
          <t xml:space="preserve"> </t>
        </r>
        <r>
          <rPr>
            <b/>
            <sz val="14"/>
            <color indexed="81"/>
            <rFont val="Tahoma"/>
            <family val="2"/>
          </rPr>
          <t xml:space="preserve"> </t>
        </r>
      </text>
    </comment>
    <comment ref="L18" authorId="0" shapeId="0" xr:uid="{00000000-0006-0000-0200-000018000000}">
      <text>
        <r>
          <rPr>
            <b/>
            <sz val="8"/>
            <color indexed="81"/>
            <rFont val="Tahoma"/>
            <family val="2"/>
          </rPr>
          <t>Rodrigo:</t>
        </r>
        <r>
          <rPr>
            <sz val="8"/>
            <color indexed="81"/>
            <rFont val="Tahoma"/>
            <family val="2"/>
          </rPr>
          <t xml:space="preserve">
 </t>
        </r>
        <r>
          <rPr>
            <sz val="14"/>
            <color indexed="81"/>
            <rFont val="Arial Black"/>
            <family val="2"/>
          </rPr>
          <t>CL</t>
        </r>
        <r>
          <rPr>
            <b/>
            <sz val="14"/>
            <color indexed="81"/>
            <rFont val="Arial Black"/>
            <family val="2"/>
          </rPr>
          <t xml:space="preserve"> </t>
        </r>
        <r>
          <rPr>
            <b/>
            <sz val="14"/>
            <color indexed="81"/>
            <rFont val="Tahoma"/>
            <family val="2"/>
          </rPr>
          <t xml:space="preserve"> </t>
        </r>
      </text>
    </comment>
    <comment ref="L19" authorId="0" shapeId="0" xr:uid="{00000000-0006-0000-0200-000019000000}">
      <text>
        <r>
          <rPr>
            <b/>
            <sz val="8"/>
            <color indexed="81"/>
            <rFont val="Tahoma"/>
            <family val="2"/>
          </rPr>
          <t>Rodrigo:</t>
        </r>
        <r>
          <rPr>
            <sz val="8"/>
            <color indexed="81"/>
            <rFont val="Tahoma"/>
            <family val="2"/>
          </rPr>
          <t xml:space="preserve">
 </t>
        </r>
        <r>
          <rPr>
            <sz val="14"/>
            <color indexed="81"/>
            <rFont val="Arial Black"/>
            <family val="2"/>
          </rPr>
          <t>OL</t>
        </r>
        <r>
          <rPr>
            <b/>
            <sz val="14"/>
            <color indexed="81"/>
            <rFont val="Arial Black"/>
            <family val="2"/>
          </rPr>
          <t xml:space="preserve"> </t>
        </r>
        <r>
          <rPr>
            <b/>
            <sz val="14"/>
            <color indexed="81"/>
            <rFont val="Tahoma"/>
            <family val="2"/>
          </rPr>
          <t xml:space="preserve"> </t>
        </r>
      </text>
    </comment>
    <comment ref="L20" authorId="0" shapeId="0" xr:uid="{00000000-0006-0000-0200-00001A000000}">
      <text>
        <r>
          <rPr>
            <b/>
            <sz val="8"/>
            <color indexed="81"/>
            <rFont val="Tahoma"/>
            <family val="2"/>
          </rPr>
          <t>Rodrigo:</t>
        </r>
        <r>
          <rPr>
            <sz val="8"/>
            <color indexed="81"/>
            <rFont val="Tahoma"/>
            <family val="2"/>
          </rPr>
          <t xml:space="preserve">
 </t>
        </r>
        <r>
          <rPr>
            <sz val="14"/>
            <color indexed="81"/>
            <rFont val="Arial Black"/>
            <family val="2"/>
          </rPr>
          <t>MH</t>
        </r>
        <r>
          <rPr>
            <b/>
            <sz val="14"/>
            <color indexed="81"/>
            <rFont val="Arial Black"/>
            <family val="2"/>
          </rPr>
          <t xml:space="preserve"> </t>
        </r>
        <r>
          <rPr>
            <b/>
            <sz val="14"/>
            <color indexed="81"/>
            <rFont val="Tahoma"/>
            <family val="2"/>
          </rPr>
          <t xml:space="preserve"> </t>
        </r>
      </text>
    </comment>
    <comment ref="L21" authorId="0" shapeId="0" xr:uid="{00000000-0006-0000-0200-00001B000000}">
      <text>
        <r>
          <rPr>
            <b/>
            <sz val="8"/>
            <color indexed="81"/>
            <rFont val="Tahoma"/>
            <family val="2"/>
          </rPr>
          <t>Rodrigo:</t>
        </r>
        <r>
          <rPr>
            <sz val="8"/>
            <color indexed="81"/>
            <rFont val="Tahoma"/>
            <family val="2"/>
          </rPr>
          <t xml:space="preserve">
 </t>
        </r>
        <r>
          <rPr>
            <sz val="14"/>
            <color indexed="81"/>
            <rFont val="Arial Black"/>
            <family val="2"/>
          </rPr>
          <t>CH</t>
        </r>
        <r>
          <rPr>
            <b/>
            <sz val="14"/>
            <color indexed="81"/>
            <rFont val="Arial Black"/>
            <family val="2"/>
          </rPr>
          <t xml:space="preserve"> </t>
        </r>
        <r>
          <rPr>
            <b/>
            <sz val="14"/>
            <color indexed="81"/>
            <rFont val="Tahoma"/>
            <family val="2"/>
          </rPr>
          <t xml:space="preserve"> </t>
        </r>
      </text>
    </comment>
    <comment ref="L22" authorId="0" shapeId="0" xr:uid="{00000000-0006-0000-0200-00001C000000}">
      <text>
        <r>
          <rPr>
            <b/>
            <sz val="8"/>
            <color indexed="81"/>
            <rFont val="Tahoma"/>
            <family val="2"/>
          </rPr>
          <t>Rodrigo:</t>
        </r>
        <r>
          <rPr>
            <sz val="8"/>
            <color indexed="81"/>
            <rFont val="Tahoma"/>
            <family val="2"/>
          </rPr>
          <t xml:space="preserve">
 </t>
        </r>
        <r>
          <rPr>
            <sz val="14"/>
            <color indexed="81"/>
            <rFont val="Arial Black"/>
            <family val="2"/>
          </rPr>
          <t>OH</t>
        </r>
        <r>
          <rPr>
            <b/>
            <sz val="14"/>
            <color indexed="81"/>
            <rFont val="Arial Black"/>
            <family val="2"/>
          </rPr>
          <t xml:space="preserve"> </t>
        </r>
        <r>
          <rPr>
            <b/>
            <sz val="14"/>
            <color indexed="81"/>
            <rFont val="Tahoma"/>
            <family val="2"/>
          </rPr>
          <t xml:space="preserve"> </t>
        </r>
      </text>
    </comment>
    <comment ref="L23" authorId="0" shapeId="0" xr:uid="{00000000-0006-0000-0200-00001D000000}">
      <text>
        <r>
          <rPr>
            <b/>
            <sz val="8"/>
            <color indexed="81"/>
            <rFont val="Tahoma"/>
            <family val="2"/>
          </rPr>
          <t>Rodrigo:</t>
        </r>
        <r>
          <rPr>
            <sz val="8"/>
            <color indexed="81"/>
            <rFont val="Tahoma"/>
            <family val="2"/>
          </rPr>
          <t xml:space="preserve">
 </t>
        </r>
        <r>
          <rPr>
            <sz val="14"/>
            <color indexed="81"/>
            <rFont val="Arial Black"/>
            <family val="2"/>
          </rPr>
          <t>CL-ML</t>
        </r>
        <r>
          <rPr>
            <b/>
            <sz val="14"/>
            <color indexed="81"/>
            <rFont val="Arial Black"/>
            <family val="2"/>
          </rPr>
          <t xml:space="preserve"> </t>
        </r>
        <r>
          <rPr>
            <b/>
            <sz val="14"/>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pc</author>
    <author>Full name</author>
  </authors>
  <commentList>
    <comment ref="B2" authorId="0" shapeId="0" xr:uid="{00000000-0006-0000-0300-000001000000}">
      <text>
        <r>
          <rPr>
            <b/>
            <sz val="8"/>
            <color indexed="81"/>
            <rFont val="Tahoma"/>
            <family val="2"/>
          </rPr>
          <t>Rodrigo:</t>
        </r>
        <r>
          <rPr>
            <sz val="8"/>
            <color indexed="81"/>
            <rFont val="Tahoma"/>
            <family val="2"/>
          </rPr>
          <t xml:space="preserve">
Se han puesto los tamices que la norma UNE 103101/95 considera que pueden ser idóneos.</t>
        </r>
      </text>
    </comment>
    <comment ref="C2" authorId="1" shapeId="0" xr:uid="{00000000-0006-0000-0300-000002000000}">
      <text>
        <r>
          <rPr>
            <b/>
            <sz val="8"/>
            <color indexed="81"/>
            <rFont val="Tahoma"/>
            <family val="2"/>
          </rPr>
          <t xml:space="preserve">Rodrigo:
</t>
        </r>
        <r>
          <rPr>
            <sz val="8"/>
            <color indexed="81"/>
            <rFont val="Tahoma"/>
            <family val="2"/>
          </rPr>
          <t>Se introducen los porcentajes que pasan por cada tamiz; no es necesario poner el porcentaje cuando este es igual al 100%</t>
        </r>
      </text>
    </comment>
    <comment ref="J24" authorId="1" shapeId="0" xr:uid="{00000000-0006-0000-0300-000003000000}">
      <text>
        <r>
          <rPr>
            <b/>
            <sz val="8"/>
            <color indexed="81"/>
            <rFont val="Tahoma"/>
            <family val="2"/>
          </rPr>
          <t xml:space="preserve">Rodrigo:
</t>
        </r>
        <r>
          <rPr>
            <sz val="8"/>
            <color indexed="81"/>
            <rFont val="Tahoma"/>
            <family val="2"/>
          </rPr>
          <t>La figura de encima se utiliza para clasificar la fracción limoso-arcillosa.
Cuanto más a la izquierda en la clasificación (en la otra hoja) mejor como subgrado.</t>
        </r>
      </text>
    </comment>
    <comment ref="E27" authorId="0" shapeId="0" xr:uid="{00000000-0006-0000-0300-000004000000}">
      <text>
        <r>
          <rPr>
            <b/>
            <sz val="8"/>
            <color indexed="81"/>
            <rFont val="Tahoma"/>
            <family val="2"/>
          </rPr>
          <t xml:space="preserve">Rodrigo:
</t>
        </r>
        <r>
          <rPr>
            <sz val="8"/>
            <color indexed="81"/>
            <rFont val="Tahoma"/>
            <family val="2"/>
          </rPr>
          <t>Diámetro de las partículas que cumple la condición: % pasa=60%
Necesario cuando el 12% o menos del material pasa por el tamiz 200 (0.08 mm).</t>
        </r>
      </text>
    </comment>
    <comment ref="E28" authorId="0" shapeId="0" xr:uid="{00000000-0006-0000-0300-000005000000}">
      <text>
        <r>
          <rPr>
            <b/>
            <sz val="8"/>
            <color indexed="81"/>
            <rFont val="Tahoma"/>
            <family val="2"/>
          </rPr>
          <t xml:space="preserve">Rodrigo:
</t>
        </r>
        <r>
          <rPr>
            <sz val="8"/>
            <color indexed="81"/>
            <rFont val="Tahoma"/>
            <family val="2"/>
          </rPr>
          <t>Diámetro de las partículas que cumple la condición: % pasa=30%
Necesario cuando el 12% o menos del material pasa por el tamiz 200 (0.08 mm).</t>
        </r>
      </text>
    </comment>
    <comment ref="K28" authorId="0" shapeId="0" xr:uid="{00000000-0006-0000-0300-000006000000}">
      <text>
        <r>
          <rPr>
            <b/>
            <sz val="8"/>
            <color indexed="81"/>
            <rFont val="Tahoma"/>
            <family val="2"/>
          </rPr>
          <t>Rodrigo:</t>
        </r>
        <r>
          <rPr>
            <sz val="8"/>
            <color indexed="81"/>
            <rFont val="Tahoma"/>
            <family val="2"/>
          </rPr>
          <t xml:space="preserve">
El valor del índice de grupo va entre parentesis después de la clasificación de grupo.
Ej.: A-2-6 (3)
Cuanto más bajo sea el índice de grupo mejor es la calidad del material para subgrado.</t>
        </r>
      </text>
    </comment>
    <comment ref="E29" authorId="0" shapeId="0" xr:uid="{00000000-0006-0000-0300-000007000000}">
      <text>
        <r>
          <rPr>
            <b/>
            <sz val="8"/>
            <color indexed="81"/>
            <rFont val="Tahoma"/>
            <family val="2"/>
          </rPr>
          <t xml:space="preserve">Rodrigo:
</t>
        </r>
        <r>
          <rPr>
            <sz val="8"/>
            <color indexed="81"/>
            <rFont val="Tahoma"/>
            <family val="2"/>
          </rPr>
          <t>Diámetro de las partículas que cumple la condición: % pasa=10%
Necesario cuando el 12% o menos del material pasa por el tamiz 200 (0.08 mm).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Full name</author>
    <author>PC-17</author>
    <author>CHRISTIAN</author>
  </authors>
  <commentList>
    <comment ref="Z6" authorId="0" shapeId="0" xr:uid="{00000000-0006-0000-0500-000001000000}">
      <text>
        <r>
          <rPr>
            <b/>
            <sz val="9"/>
            <color indexed="81"/>
            <rFont val="Tahoma"/>
            <family val="2"/>
          </rPr>
          <t>Rodrigo:</t>
        </r>
        <r>
          <rPr>
            <sz val="9"/>
            <color indexed="81"/>
            <rFont val="Tahoma"/>
            <family val="2"/>
          </rPr>
          <t xml:space="preserve">
Clasificador "Jordi Gonzales" Adaptada por el comentarista. Rodri...</t>
        </r>
      </text>
    </comment>
    <comment ref="Z7" authorId="0" shapeId="0" xr:uid="{00000000-0006-0000-0500-000002000000}">
      <text>
        <r>
          <rPr>
            <b/>
            <sz val="9"/>
            <color indexed="81"/>
            <rFont val="Tahoma"/>
            <family val="2"/>
          </rPr>
          <t>Rodrigo:</t>
        </r>
        <r>
          <rPr>
            <sz val="9"/>
            <color indexed="81"/>
            <rFont val="Tahoma"/>
            <family val="2"/>
          </rPr>
          <t xml:space="preserve">
Clasificador "D. R"  Adaptada por el comentarista. Rodri...</t>
        </r>
      </text>
    </comment>
    <comment ref="AB7" authorId="0" shapeId="0" xr:uid="{00000000-0006-0000-0500-000003000000}">
      <text>
        <r>
          <rPr>
            <b/>
            <sz val="9"/>
            <color indexed="81"/>
            <rFont val="Tahoma"/>
            <family val="2"/>
          </rPr>
          <t>Gregory:</t>
        </r>
        <r>
          <rPr>
            <sz val="9"/>
            <color indexed="81"/>
            <rFont val="Tahoma"/>
            <family val="2"/>
          </rPr>
          <t xml:space="preserve">
Recomendado para el certificado.</t>
        </r>
      </text>
    </comment>
    <comment ref="Z8" authorId="0" shapeId="0" xr:uid="{00000000-0006-0000-0500-000004000000}">
      <text>
        <r>
          <rPr>
            <b/>
            <sz val="9"/>
            <color indexed="81"/>
            <rFont val="Tahoma"/>
            <family val="2"/>
          </rPr>
          <t>Rodrigo:</t>
        </r>
        <r>
          <rPr>
            <sz val="9"/>
            <color indexed="81"/>
            <rFont val="Tahoma"/>
            <family val="2"/>
          </rPr>
          <t xml:space="preserve">
Clasificador "GMI S.A"  Adaptada por el comentarista. Rodri...</t>
        </r>
      </text>
    </comment>
    <comment ref="AB8" authorId="1" shapeId="0" xr:uid="{00000000-0006-0000-0500-000005000000}">
      <text>
        <r>
          <rPr>
            <b/>
            <sz val="9"/>
            <color indexed="81"/>
            <rFont val="Tahoma"/>
            <family val="2"/>
          </rPr>
          <t>Gregory:</t>
        </r>
        <r>
          <rPr>
            <sz val="9"/>
            <color indexed="81"/>
            <rFont val="Tahoma"/>
            <family val="2"/>
          </rPr>
          <t xml:space="preserve">
Recomendado para el certificado.</t>
        </r>
      </text>
    </comment>
    <comment ref="AD8" authorId="0" shapeId="0" xr:uid="{00000000-0006-0000-0500-000006000000}">
      <text>
        <r>
          <rPr>
            <b/>
            <sz val="9"/>
            <color indexed="81"/>
            <rFont val="Tahoma"/>
            <family val="2"/>
          </rPr>
          <t>Gregory:</t>
        </r>
        <r>
          <rPr>
            <sz val="9"/>
            <color indexed="81"/>
            <rFont val="Tahoma"/>
            <family val="2"/>
          </rPr>
          <t xml:space="preserve">
Recomendado para el certificado.</t>
        </r>
      </text>
    </comment>
    <comment ref="Z10" authorId="0" shapeId="0" xr:uid="{00000000-0006-0000-0500-000007000000}">
      <text>
        <r>
          <rPr>
            <b/>
            <sz val="9"/>
            <color indexed="81"/>
            <rFont val="Tahoma"/>
            <family val="2"/>
          </rPr>
          <t xml:space="preserve">Rodrigo:
</t>
        </r>
        <r>
          <rPr>
            <sz val="9"/>
            <color indexed="81"/>
            <rFont val="Tahoma"/>
            <family val="2"/>
          </rPr>
          <t>Clasificador "Jordi Gonzales" Adaptada por el comentarista. Rodri...</t>
        </r>
      </text>
    </comment>
    <comment ref="Z11" authorId="0" shapeId="0" xr:uid="{00000000-0006-0000-0500-000008000000}">
      <text>
        <r>
          <rPr>
            <b/>
            <sz val="9"/>
            <color indexed="81"/>
            <rFont val="Tahoma"/>
            <family val="2"/>
          </rPr>
          <t>Rodrigo:</t>
        </r>
        <r>
          <rPr>
            <sz val="9"/>
            <color indexed="81"/>
            <rFont val="Tahoma"/>
            <family val="2"/>
          </rPr>
          <t xml:space="preserve">
Clasificador "D. R" Adaptada por el comentarista. Rodri...</t>
        </r>
      </text>
    </comment>
    <comment ref="AB11" authorId="0" shapeId="0" xr:uid="{00000000-0006-0000-0500-000009000000}">
      <text>
        <r>
          <rPr>
            <b/>
            <sz val="9"/>
            <color indexed="81"/>
            <rFont val="Tahoma"/>
            <family val="2"/>
          </rPr>
          <t>Gregory:</t>
        </r>
        <r>
          <rPr>
            <sz val="9"/>
            <color indexed="81"/>
            <rFont val="Tahoma"/>
            <family val="2"/>
          </rPr>
          <t xml:space="preserve">
Recomendado para el certificado.</t>
        </r>
      </text>
    </comment>
    <comment ref="Z12" authorId="0" shapeId="0" xr:uid="{00000000-0006-0000-0500-00000A000000}">
      <text>
        <r>
          <rPr>
            <b/>
            <sz val="9"/>
            <color indexed="81"/>
            <rFont val="Tahoma"/>
            <family val="2"/>
          </rPr>
          <t xml:space="preserve">Rodrigo:
</t>
        </r>
        <r>
          <rPr>
            <sz val="9"/>
            <color indexed="81"/>
            <rFont val="Tahoma"/>
            <family val="2"/>
          </rPr>
          <t>Clasificador "GMI S.A"  Adaptada por el comentarista. Rodri...</t>
        </r>
      </text>
    </comment>
    <comment ref="O23" authorId="0" shapeId="0" xr:uid="{00000000-0006-0000-0500-00000B000000}">
      <text>
        <r>
          <rPr>
            <b/>
            <sz val="9"/>
            <color indexed="81"/>
            <rFont val="Tahoma"/>
            <family val="2"/>
          </rPr>
          <t>Gregory:</t>
        </r>
        <r>
          <rPr>
            <sz val="9"/>
            <color indexed="81"/>
            <rFont val="Tahoma"/>
            <family val="2"/>
          </rPr>
          <t xml:space="preserve">
Ingresar datos unicamente en las celdas de fuente de color </t>
        </r>
        <r>
          <rPr>
            <b/>
            <sz val="9"/>
            <color indexed="81"/>
            <rFont val="Tahoma"/>
            <family val="2"/>
          </rPr>
          <t>ROJO</t>
        </r>
      </text>
    </comment>
    <comment ref="V23" authorId="0" shapeId="0" xr:uid="{00000000-0006-0000-0500-00000C000000}">
      <text>
        <r>
          <rPr>
            <b/>
            <sz val="9"/>
            <color indexed="81"/>
            <rFont val="Tahoma"/>
            <family val="2"/>
          </rPr>
          <t>Gregory:</t>
        </r>
        <r>
          <rPr>
            <sz val="9"/>
            <color indexed="81"/>
            <rFont val="Tahoma"/>
            <family val="2"/>
          </rPr>
          <t xml:space="preserve">
No tocar, datos para hoja de calculo de analisis granulometrico</t>
        </r>
      </text>
    </comment>
    <comment ref="R46" authorId="2" shapeId="0" xr:uid="{203D3B55-5205-419B-AD69-B3A21B4671B8}">
      <text>
        <r>
          <rPr>
            <b/>
            <sz val="9"/>
            <color indexed="81"/>
            <rFont val="Tahoma"/>
            <family val="2"/>
          </rPr>
          <t xml:space="preserve">Gregory:
</t>
        </r>
        <r>
          <rPr>
            <sz val="9"/>
            <color indexed="81"/>
            <rFont val="Tahoma"/>
            <family val="2"/>
          </rPr>
          <t>Fracción Seca + Tara</t>
        </r>
      </text>
    </comment>
    <comment ref="T46" authorId="2" shapeId="0" xr:uid="{66F8942B-9C3F-4B36-9741-9072ECE66C95}">
      <text>
        <r>
          <rPr>
            <b/>
            <sz val="9"/>
            <color indexed="81"/>
            <rFont val="Tahoma"/>
            <family val="2"/>
          </rPr>
          <t>Gregory:</t>
        </r>
        <r>
          <rPr>
            <sz val="9"/>
            <color indexed="81"/>
            <rFont val="Tahoma"/>
            <family val="2"/>
          </rPr>
          <t xml:space="preserve">
Verificacion del peso del fondo</t>
        </r>
      </text>
    </comment>
    <comment ref="R53" authorId="2" shapeId="0" xr:uid="{608783A7-DE5D-490F-92B7-4B11D0BCFB83}">
      <text>
        <r>
          <rPr>
            <b/>
            <sz val="9"/>
            <color indexed="81"/>
            <rFont val="Tahoma"/>
            <family val="2"/>
          </rPr>
          <t xml:space="preserve">Gregory:
</t>
        </r>
        <r>
          <rPr>
            <sz val="9"/>
            <color indexed="81"/>
            <rFont val="Tahoma"/>
            <family val="2"/>
          </rPr>
          <t>Pasante del tamiz N°200 por lavado + Fondo</t>
        </r>
      </text>
    </comment>
    <comment ref="A97" authorId="0" shapeId="0" xr:uid="{00000000-0006-0000-0500-00000D000000}">
      <text>
        <r>
          <rPr>
            <b/>
            <sz val="9"/>
            <color indexed="81"/>
            <rFont val="Tahoma"/>
            <family val="2"/>
          </rPr>
          <t>Gregory:</t>
        </r>
        <r>
          <rPr>
            <sz val="9"/>
            <color indexed="81"/>
            <rFont val="Tahoma"/>
            <family val="2"/>
          </rPr>
          <t xml:space="preserve">
</t>
        </r>
        <r>
          <rPr>
            <b/>
            <sz val="9"/>
            <color indexed="81"/>
            <rFont val="Tahoma"/>
            <family val="2"/>
          </rPr>
          <t xml:space="preserve">NO </t>
        </r>
        <r>
          <rPr>
            <sz val="9"/>
            <color indexed="81"/>
            <rFont val="Tahoma"/>
            <family val="2"/>
          </rPr>
          <t>tocar o realizar cambio de datos en las tablas indicadas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PC-17</author>
    <author>Full name</author>
  </authors>
  <commentList>
    <comment ref="R12" authorId="0" shapeId="0" xr:uid="{00000000-0006-0000-0700-000001000000}">
      <text>
        <r>
          <rPr>
            <b/>
            <sz val="9"/>
            <color indexed="81"/>
            <rFont val="Tahoma"/>
            <family val="2"/>
          </rPr>
          <t>Gregory:</t>
        </r>
        <r>
          <rPr>
            <sz val="9"/>
            <color indexed="81"/>
            <rFont val="Tahoma"/>
            <family val="2"/>
          </rPr>
          <t xml:space="preserve">
No tocar, datos par la hoja de calculo</t>
        </r>
      </text>
    </comment>
    <comment ref="U16" authorId="1" shapeId="0" xr:uid="{00000000-0006-0000-0700-000002000000}">
      <text>
        <r>
          <rPr>
            <b/>
            <sz val="9"/>
            <color indexed="81"/>
            <rFont val="Tahoma"/>
            <family val="2"/>
          </rPr>
          <t>Full name:</t>
        </r>
        <r>
          <rPr>
            <sz val="9"/>
            <color indexed="81"/>
            <rFont val="Tahoma"/>
            <family val="2"/>
          </rPr>
          <t xml:space="preserve">
01</t>
        </r>
      </text>
    </comment>
  </commentList>
</comments>
</file>

<file path=xl/sharedStrings.xml><?xml version="1.0" encoding="utf-8"?>
<sst xmlns="http://schemas.openxmlformats.org/spreadsheetml/2006/main" count="2313" uniqueCount="901">
  <si>
    <t>N° 10</t>
  </si>
  <si>
    <t>N° 200</t>
  </si>
  <si>
    <t>LL</t>
  </si>
  <si>
    <t>IP</t>
  </si>
  <si>
    <t>N° 40</t>
  </si>
  <si>
    <t>N° REGISTRO:</t>
  </si>
  <si>
    <t>3"</t>
  </si>
  <si>
    <t>TAMIZ</t>
  </si>
  <si>
    <t>(mm)</t>
  </si>
  <si>
    <t>ACUMULADO</t>
  </si>
  <si>
    <t>QUE  PASA</t>
  </si>
  <si>
    <t>10"</t>
  </si>
  <si>
    <t>6"</t>
  </si>
  <si>
    <t>5"</t>
  </si>
  <si>
    <t>4"</t>
  </si>
  <si>
    <t>2 1/2"</t>
  </si>
  <si>
    <t>2"</t>
  </si>
  <si>
    <t>1 1/2"</t>
  </si>
  <si>
    <t>1"</t>
  </si>
  <si>
    <t>3/4"</t>
  </si>
  <si>
    <t>Cu:</t>
  </si>
  <si>
    <t>1/2"</t>
  </si>
  <si>
    <t>Cc:</t>
  </si>
  <si>
    <t>3/8"</t>
  </si>
  <si>
    <t>Clasificación (AASHTO) :</t>
  </si>
  <si>
    <t>1/4"</t>
  </si>
  <si>
    <t>Indice de Grupo :</t>
  </si>
  <si>
    <t>Nº 4</t>
  </si>
  <si>
    <t>Nº 8</t>
  </si>
  <si>
    <t>Nº 10</t>
  </si>
  <si>
    <t>Boloneria &gt; 3"  :</t>
  </si>
  <si>
    <t>%</t>
  </si>
  <si>
    <t>Nº 16</t>
  </si>
  <si>
    <t>Grava 3" - Nº 4 :</t>
  </si>
  <si>
    <t>Nº 20</t>
  </si>
  <si>
    <t>Arena Nº4 - Nº 200 :</t>
  </si>
  <si>
    <t>Nº 30</t>
  </si>
  <si>
    <t>Finos &lt; Nº 200 :</t>
  </si>
  <si>
    <t>Nº 40</t>
  </si>
  <si>
    <t>Nº 50</t>
  </si>
  <si>
    <t>Nº 60</t>
  </si>
  <si>
    <t>Nº 80</t>
  </si>
  <si>
    <t>Nº 100</t>
  </si>
  <si>
    <t>Nº 200</t>
  </si>
  <si>
    <t>&lt; Nº 200</t>
  </si>
  <si>
    <t>FONDO</t>
  </si>
  <si>
    <t>12"</t>
  </si>
  <si>
    <t>W Grava</t>
  </si>
  <si>
    <t>W Arena</t>
  </si>
  <si>
    <t>TOTAL</t>
  </si>
  <si>
    <t>Peso Humedo + Tara</t>
  </si>
  <si>
    <t>Sup</t>
  </si>
  <si>
    <t>Inf</t>
  </si>
  <si>
    <t>Peso Seco + Tara</t>
  </si>
  <si>
    <t>mm</t>
  </si>
  <si>
    <t>Pulg</t>
  </si>
  <si>
    <t>Peso Retenido</t>
  </si>
  <si>
    <t>%Retenido</t>
  </si>
  <si>
    <t>%Pasante</t>
  </si>
  <si>
    <t>P10</t>
  </si>
  <si>
    <t>P30</t>
  </si>
  <si>
    <t>P60</t>
  </si>
  <si>
    <t>D60</t>
  </si>
  <si>
    <t>D10</t>
  </si>
  <si>
    <t>D30</t>
  </si>
  <si>
    <t>% de Humedad</t>
  </si>
  <si>
    <t>Fracción Seca</t>
  </si>
  <si>
    <t>Fracción seca Lavada</t>
  </si>
  <si>
    <t>% de Error</t>
  </si>
  <si>
    <t>N° 4</t>
  </si>
  <si>
    <t>N° 20</t>
  </si>
  <si>
    <t>N °40</t>
  </si>
  <si>
    <t>N° 50</t>
  </si>
  <si>
    <t>N° 100</t>
  </si>
  <si>
    <t>%  Pasante</t>
  </si>
  <si>
    <t>Diam. sup</t>
  </si>
  <si>
    <t>Diam. inf</t>
  </si>
  <si>
    <t>% Pas. sup</t>
  </si>
  <si>
    <t>% Pas. inf</t>
  </si>
  <si>
    <t>Diametro</t>
  </si>
  <si>
    <t>Cu =</t>
  </si>
  <si>
    <t>Cc =</t>
  </si>
  <si>
    <t>I.G. =</t>
  </si>
  <si>
    <t>IG = (F200 - 35) (0.02 + 0.005 (LL-40) ) + 0.01 (F200 - 15) (IP - 10)</t>
  </si>
  <si>
    <t>Fecha:</t>
  </si>
  <si>
    <t>ARENA HUMEDA</t>
  </si>
  <si>
    <t xml:space="preserve">LINEA A </t>
  </si>
  <si>
    <t>CORREGIDO</t>
  </si>
  <si>
    <t>FRACCION HUMEDA</t>
  </si>
  <si>
    <t>FORMULA LINEA A: 0.73*(LL-20)</t>
  </si>
  <si>
    <t>% GRAVA</t>
  </si>
  <si>
    <t>Gruesa</t>
  </si>
  <si>
    <t>Fina</t>
  </si>
  <si>
    <t>% ARENA</t>
  </si>
  <si>
    <t>Media</t>
  </si>
  <si>
    <t>% FINOS</t>
  </si>
  <si>
    <t>N° 8</t>
  </si>
  <si>
    <t>N° 16</t>
  </si>
  <si>
    <t>Cu</t>
  </si>
  <si>
    <t>Cc</t>
  </si>
  <si>
    <t>N°100</t>
  </si>
  <si>
    <t>N°200</t>
  </si>
  <si>
    <t>FECHA:</t>
  </si>
  <si>
    <t>Ensayos</t>
  </si>
  <si>
    <t>COMENTARIOS Y OBSERVACIONES:</t>
  </si>
  <si>
    <t>Descripción</t>
  </si>
  <si>
    <t>Und</t>
  </si>
  <si>
    <t>Observaciones</t>
  </si>
  <si>
    <t>Nº TARRO</t>
  </si>
  <si>
    <t>(g)</t>
  </si>
  <si>
    <t>CONTENIDO DE HUMEDAD</t>
  </si>
  <si>
    <t>(%)</t>
  </si>
  <si>
    <t>NUMERO DE GOLPES</t>
  </si>
  <si>
    <t>LP</t>
  </si>
  <si>
    <t>N° TARRO</t>
  </si>
  <si>
    <t>PESO</t>
  </si>
  <si>
    <t>X</t>
  </si>
  <si>
    <t>Y</t>
  </si>
  <si>
    <t>LIMITE LIQUIDO</t>
  </si>
  <si>
    <t>LIMITE PLASTICO</t>
  </si>
  <si>
    <t>C</t>
  </si>
  <si>
    <t>DESCRIPCION</t>
  </si>
  <si>
    <t>x</t>
  </si>
  <si>
    <t>Cte.</t>
  </si>
  <si>
    <t>A</t>
  </si>
  <si>
    <t>B</t>
  </si>
  <si>
    <t>D</t>
  </si>
  <si>
    <t>De 5% a 12%</t>
  </si>
  <si>
    <t>GW</t>
  </si>
  <si>
    <t>GP</t>
  </si>
  <si>
    <t>GM</t>
  </si>
  <si>
    <t>GC</t>
  </si>
  <si>
    <t>SW</t>
  </si>
  <si>
    <t>SP</t>
  </si>
  <si>
    <t>SM</t>
  </si>
  <si>
    <t>SC</t>
  </si>
  <si>
    <t>CL</t>
  </si>
  <si>
    <t>ML</t>
  </si>
  <si>
    <t>OL</t>
  </si>
  <si>
    <t>CH</t>
  </si>
  <si>
    <t>MH</t>
  </si>
  <si>
    <t>OH</t>
  </si>
  <si>
    <t>Pt</t>
  </si>
  <si>
    <t>Grava bien graduada</t>
  </si>
  <si>
    <t>Grava bien graduada con arena</t>
  </si>
  <si>
    <t>Grava mal graduada</t>
  </si>
  <si>
    <t>Grava mal graduada con arena</t>
  </si>
  <si>
    <t>Grava limosa</t>
  </si>
  <si>
    <t>Grava limosa con arena</t>
  </si>
  <si>
    <t>Grava arcillosa</t>
  </si>
  <si>
    <t>Grava arcillosa con arena</t>
  </si>
  <si>
    <t>Arena bien graduada</t>
  </si>
  <si>
    <t>Arena mal graduada</t>
  </si>
  <si>
    <t>Arena mal graduada con grava</t>
  </si>
  <si>
    <t>Arena limosa</t>
  </si>
  <si>
    <t>Arena limosa con grava</t>
  </si>
  <si>
    <t>Arena arcillosa</t>
  </si>
  <si>
    <t>Arena arcillosa con grava</t>
  </si>
  <si>
    <t>Limo</t>
  </si>
  <si>
    <t>Limo con arena</t>
  </si>
  <si>
    <t>Limo con grava</t>
  </si>
  <si>
    <t>Limo arenoso</t>
  </si>
  <si>
    <t>Limo arenoso con grava</t>
  </si>
  <si>
    <t>Tamiz</t>
  </si>
  <si>
    <t>Pasa</t>
  </si>
  <si>
    <t>Pasante</t>
  </si>
  <si>
    <t>Retenido</t>
  </si>
  <si>
    <t>Clasificación AAHSTO</t>
  </si>
  <si>
    <t>acumulado (%)</t>
  </si>
  <si>
    <t>parcial (%)</t>
  </si>
  <si>
    <t>Sistema unificado de clasificación de suelos (S.U.C.S.)</t>
  </si>
  <si>
    <t>Límite líquido LL</t>
  </si>
  <si>
    <t>Límite plastico LP</t>
  </si>
  <si>
    <t>Índice plasticidad IP</t>
  </si>
  <si>
    <t>Pasa tamiz Nº 4 (5mm):</t>
  </si>
  <si>
    <t>Pasa tamiz Nº 200 (0,080 mm):</t>
  </si>
  <si>
    <r>
      <t>D</t>
    </r>
    <r>
      <rPr>
        <b/>
        <sz val="8"/>
        <color indexed="9"/>
        <rFont val="Arial"/>
        <family val="2"/>
      </rPr>
      <t>60:</t>
    </r>
  </si>
  <si>
    <r>
      <t>D</t>
    </r>
    <r>
      <rPr>
        <b/>
        <sz val="8"/>
        <color indexed="9"/>
        <rFont val="Arial"/>
        <family val="2"/>
      </rPr>
      <t>30</t>
    </r>
    <r>
      <rPr>
        <b/>
        <sz val="10"/>
        <color indexed="9"/>
        <rFont val="Arial"/>
        <family val="2"/>
      </rPr>
      <t>:</t>
    </r>
  </si>
  <si>
    <t>Valor del índice de grupo (IG):</t>
  </si>
  <si>
    <r>
      <t>D</t>
    </r>
    <r>
      <rPr>
        <b/>
        <sz val="8"/>
        <color indexed="9"/>
        <rFont val="Arial"/>
        <family val="2"/>
      </rPr>
      <t xml:space="preserve">10 </t>
    </r>
    <r>
      <rPr>
        <b/>
        <sz val="10"/>
        <color indexed="9"/>
        <rFont val="Arial"/>
        <family val="2"/>
      </rPr>
      <t>(diámetro efectivo):</t>
    </r>
  </si>
  <si>
    <t>Coeficiente de uniformidad (Cu):</t>
  </si>
  <si>
    <t>Grado de curvatura (Cc):</t>
  </si>
  <si>
    <r>
      <t>D</t>
    </r>
    <r>
      <rPr>
        <b/>
        <sz val="8"/>
        <rFont val="Arial"/>
        <family val="2"/>
      </rPr>
      <t>60:</t>
    </r>
  </si>
  <si>
    <r>
      <t>D</t>
    </r>
    <r>
      <rPr>
        <b/>
        <sz val="8"/>
        <rFont val="Arial"/>
        <family val="2"/>
      </rPr>
      <t>30</t>
    </r>
    <r>
      <rPr>
        <b/>
        <sz val="10"/>
        <rFont val="Arial"/>
        <family val="2"/>
      </rPr>
      <t>:</t>
    </r>
  </si>
  <si>
    <r>
      <t>D</t>
    </r>
    <r>
      <rPr>
        <b/>
        <sz val="8"/>
        <rFont val="Arial"/>
        <family val="2"/>
      </rPr>
      <t xml:space="preserve">10 </t>
    </r>
    <r>
      <rPr>
        <b/>
        <sz val="10"/>
        <rFont val="Arial"/>
        <family val="2"/>
      </rPr>
      <t>(diámetro efectivo):</t>
    </r>
  </si>
  <si>
    <t>Límite líquido, LL:</t>
  </si>
  <si>
    <t>Límite plastico, LP:</t>
  </si>
  <si>
    <t>Índice plasticidad, IP:</t>
  </si>
  <si>
    <r>
      <t>D</t>
    </r>
    <r>
      <rPr>
        <sz val="8"/>
        <rFont val="Arial"/>
        <family val="2"/>
      </rPr>
      <t>60:</t>
    </r>
  </si>
  <si>
    <r>
      <t>D</t>
    </r>
    <r>
      <rPr>
        <sz val="8"/>
        <rFont val="Arial"/>
        <family val="2"/>
      </rPr>
      <t>30</t>
    </r>
    <r>
      <rPr>
        <sz val="10"/>
        <rFont val="Arial"/>
        <family val="2"/>
      </rPr>
      <t>:</t>
    </r>
  </si>
  <si>
    <r>
      <t>D</t>
    </r>
    <r>
      <rPr>
        <sz val="8"/>
        <rFont val="Arial"/>
        <family val="2"/>
      </rPr>
      <t xml:space="preserve">10 </t>
    </r>
    <r>
      <rPr>
        <sz val="10"/>
        <rFont val="Arial"/>
        <family val="2"/>
      </rPr>
      <t>(diámetro efectivo):</t>
    </r>
  </si>
  <si>
    <t>SISTEMA UNIFICADO DE CLASIFICACION</t>
  </si>
  <si>
    <t>TIPO</t>
  </si>
  <si>
    <t>VISIONES MAYORES</t>
  </si>
  <si>
    <t xml:space="preserve">SIMBOLO </t>
  </si>
  <si>
    <t>NOMBRES TIPICOS</t>
  </si>
  <si>
    <t>CRITERIOS DE CLASIFICACION</t>
  </si>
  <si>
    <t>NOMBRE TIPICO DESGREGADO</t>
  </si>
  <si>
    <t>CLASIFICACION SIMPLE</t>
  </si>
  <si>
    <t>CLASIFICACION DOBLE (Influ. 4)</t>
  </si>
  <si>
    <t>CLASIFICACION DOBLE (Influ. 6 con 3)</t>
  </si>
  <si>
    <t>CLASIFICACION DOBLE (Influ. 6 con 4)</t>
  </si>
  <si>
    <t>CLASIFICACION COMPLETA</t>
  </si>
  <si>
    <t>SUELOS</t>
  </si>
  <si>
    <t>DE GRUPO</t>
  </si>
  <si>
    <t xml:space="preserve">Indices y Coef. </t>
  </si>
  <si>
    <t>Fraccionamiento de Pacticulas</t>
  </si>
  <si>
    <t>SUM.</t>
  </si>
  <si>
    <t>CLAS.</t>
  </si>
  <si>
    <t>SIMBOLO</t>
  </si>
  <si>
    <t>NOMBRE TIPICO</t>
  </si>
  <si>
    <t>GRANO GRUESO</t>
  </si>
  <si>
    <t>Gravas bien gradadas, mezclas gravosas, poco o ningun fino</t>
  </si>
  <si>
    <t>Cu ≥ 4</t>
  </si>
  <si>
    <t>1 ≤ Cc ≤ 3</t>
  </si>
  <si>
    <t>Pasante Nº 200 menos del  5%</t>
  </si>
  <si>
    <t>Frac Arena &lt; 15%</t>
  </si>
  <si>
    <t>-</t>
  </si>
  <si>
    <t>Frac Arena ≥ 15%</t>
  </si>
  <si>
    <t>Gravas (mas de a</t>
  </si>
  <si>
    <t>Gravas pobremente gradadas, mezcla grava - arena, pocos o ningun fino</t>
  </si>
  <si>
    <t>No cumple todos los requisitos de gradacion para GW</t>
  </si>
  <si>
    <t>mitad de la fraccion</t>
  </si>
  <si>
    <t>gruesa es mayor</t>
  </si>
  <si>
    <t>Gravas limosas, mezcla grava - arena - limo</t>
  </si>
  <si>
    <t>IP &lt; 4</t>
  </si>
  <si>
    <t>Pasante Nº 200 mas del 12%</t>
  </si>
  <si>
    <t>que el tamiz Nº 4</t>
  </si>
  <si>
    <t>4 ≤ IP ≤ 7</t>
  </si>
  <si>
    <t>Mas del 50% de</t>
  </si>
  <si>
    <t>Gravas arcillosas, mezcla grava - arena - arcillosas</t>
  </si>
  <si>
    <t>IP &gt; 7</t>
  </si>
  <si>
    <t>Se les asigna doble simbolo</t>
  </si>
  <si>
    <t xml:space="preserve">la muestra es </t>
  </si>
  <si>
    <t>retenido por el</t>
  </si>
  <si>
    <t>Arenas bien gradadas, arenas - gravosas, pocos o ningun fino</t>
  </si>
  <si>
    <t>Cu ≥ 6</t>
  </si>
  <si>
    <t>Doble Simbolo</t>
  </si>
  <si>
    <t>Frac Grava &lt; 15%</t>
  </si>
  <si>
    <t>tamiz Nº 200</t>
  </si>
  <si>
    <t>Frac Grava ≥ 15%</t>
  </si>
  <si>
    <t>Arena bien graduada con arena</t>
  </si>
  <si>
    <t xml:space="preserve">Arenas (mas de la </t>
  </si>
  <si>
    <t>Arenas pobremente gradadas, arenas gravosas, pocos o ningun fino</t>
  </si>
  <si>
    <t>No cumple todos los requisitos de gradacion para SW</t>
  </si>
  <si>
    <t>gruesa es menor</t>
  </si>
  <si>
    <t>Arenas limosas mezcla de arena - limo</t>
  </si>
  <si>
    <t>Arenas arcillosas, mezclas arenas - arcilla</t>
  </si>
  <si>
    <t>se coloca doble simbolo</t>
  </si>
  <si>
    <t>CLASIFICACION SIMPLE (Inf. 3)</t>
  </si>
  <si>
    <t>CLASIFICACION SIMPLE (Inf. 4)</t>
  </si>
  <si>
    <t>GRANO FINO</t>
  </si>
  <si>
    <t>Retenido Nº 200    &lt; 15%</t>
  </si>
  <si>
    <t>Retenido Nº 200     15% - 29%</t>
  </si>
  <si>
    <t>%Arena / %Grava ≥ 1</t>
  </si>
  <si>
    <t>Limos inorganicos y arena muy finas, polvo de roca, arenas finas limosas</t>
  </si>
  <si>
    <t>%Arena / %Grava &lt; 1</t>
  </si>
  <si>
    <t>Retenido Nº 200  ≥ 30%</t>
  </si>
  <si>
    <t>%Grava &lt; 15</t>
  </si>
  <si>
    <t>o arcillosas, o limos arcillosos con poca plasticidad</t>
  </si>
  <si>
    <t>%Grava ≥ 15</t>
  </si>
  <si>
    <t>%Arena &lt; 15</t>
  </si>
  <si>
    <t>Limo con mucha grava</t>
  </si>
  <si>
    <t>%Arena ≥ 15</t>
  </si>
  <si>
    <t>Limo con mucha grava y con arena</t>
  </si>
  <si>
    <t>Arcilla delgada</t>
  </si>
  <si>
    <t>Arcilla delgada con arena</t>
  </si>
  <si>
    <t>Arcillas inorganicas de plasticidad baja a media, arcillas gravosas, arcillas</t>
  </si>
  <si>
    <t>Arcilla delgada con grava</t>
  </si>
  <si>
    <t>Arcilla delgada arenosa</t>
  </si>
  <si>
    <t>arenosas, arcillas limosas, arcillas magras</t>
  </si>
  <si>
    <t>Arcilla delgada arenosa con grava</t>
  </si>
  <si>
    <t>Arcilla delgada con mucha grava</t>
  </si>
  <si>
    <t>Limos y Arcillas</t>
  </si>
  <si>
    <t>Arcilla delgada con mucha grava y con arena</t>
  </si>
  <si>
    <t>Limos organicos, arcillas limosas organicas de baja plasticidad</t>
  </si>
  <si>
    <t>IP ≥ 4</t>
  </si>
  <si>
    <t>Arcilla organica</t>
  </si>
  <si>
    <t>(Limite Liquido &lt; 50)</t>
  </si>
  <si>
    <t>Arcilla organica con arena</t>
  </si>
  <si>
    <t>Arcilla organica con grava</t>
  </si>
  <si>
    <t>Arcilla organica arenosa</t>
  </si>
  <si>
    <t>Arcilla organica arenosa con grava</t>
  </si>
  <si>
    <t>Arcilla organica con mucha grava</t>
  </si>
  <si>
    <r>
      <t>LL (Secado Natural)</t>
    </r>
    <r>
      <rPr>
        <sz val="10"/>
        <rFont val="Arial"/>
        <family val="2"/>
      </rPr>
      <t xml:space="preserve">    &lt;  0.75</t>
    </r>
  </si>
  <si>
    <t>Arcilla organica con mucha grava y con arena</t>
  </si>
  <si>
    <t xml:space="preserve">  LL (Secado a Horno)                </t>
  </si>
  <si>
    <t>Limo organico</t>
  </si>
  <si>
    <t>Limo organico con arena</t>
  </si>
  <si>
    <t>Limo organico con grava</t>
  </si>
  <si>
    <t>Limo organico arenoso</t>
  </si>
  <si>
    <t>Limo organico arenoso con grava</t>
  </si>
  <si>
    <t>Limo organico con mucha grava</t>
  </si>
  <si>
    <t>pasante de el</t>
  </si>
  <si>
    <t>Limo organico con mucha grava y con arena</t>
  </si>
  <si>
    <t>Limo elastico</t>
  </si>
  <si>
    <t>Limo elastico con arena</t>
  </si>
  <si>
    <t>Limos inorganicos, suelos limosas o areanosos, finos micaceos o</t>
  </si>
  <si>
    <t>Limo elastico con grava</t>
  </si>
  <si>
    <t>Limo elastico arenoso</t>
  </si>
  <si>
    <t>diatomaceos, suelos elasticos</t>
  </si>
  <si>
    <t>Limo elastico arenoso con grava</t>
  </si>
  <si>
    <t>Limo elastico con mucha grava</t>
  </si>
  <si>
    <t>Limo elastico con mucha grava y con arena</t>
  </si>
  <si>
    <t>Arcillas organicas de alta plasticidad, arcillas grasas</t>
  </si>
  <si>
    <t>Arcilla gruesa</t>
  </si>
  <si>
    <t>Arcilla gruesa con arena</t>
  </si>
  <si>
    <t>Arcilla gruesa con grava</t>
  </si>
  <si>
    <t>Arcilla gruesa arenosa</t>
  </si>
  <si>
    <t>Arcilla gruesa arenosa con grava</t>
  </si>
  <si>
    <t>Arcilla gruesa con mucha grava</t>
  </si>
  <si>
    <t>Arcilla gruesa con mucha grava y con arena</t>
  </si>
  <si>
    <t>Arcillas organicas de plasticidad media a alta, limos organicos</t>
  </si>
  <si>
    <t>(Limite Liquido ≥ 50)</t>
  </si>
  <si>
    <t>Suelos Altamente Organicos</t>
  </si>
  <si>
    <t>Turba o otros suelos altamente organicos</t>
  </si>
  <si>
    <t>Particulas en descomposicion y suelos inestables no recomendable para su uso</t>
  </si>
  <si>
    <t>% FRACCION GRUESA</t>
  </si>
  <si>
    <t>% FRACCION FINA</t>
  </si>
  <si>
    <t>% Grava</t>
  </si>
  <si>
    <t>% Arena</t>
  </si>
  <si>
    <t xml:space="preserve">CLASIFICACION </t>
  </si>
  <si>
    <t>% Fino</t>
  </si>
  <si>
    <t>% Pasante 3/8"</t>
  </si>
  <si>
    <t>"SUCS"</t>
  </si>
  <si>
    <t>% Pasante Nº 4</t>
  </si>
  <si>
    <t>% Retenido Acumulado Nº 4</t>
  </si>
  <si>
    <t>% Pasante Nº 200</t>
  </si>
  <si>
    <t>% Retenido Acumulado Nº 200</t>
  </si>
  <si>
    <t>Limite Liquido (Secado al Horno)</t>
  </si>
  <si>
    <t>Limite Liquido (Secado Natural)</t>
  </si>
  <si>
    <t>Indice Plastico</t>
  </si>
  <si>
    <t>Suelos Altamente Contaminado</t>
  </si>
  <si>
    <t>MATERIAL:</t>
  </si>
  <si>
    <t>UBICACIÓN DE LA MUESTRA:</t>
  </si>
  <si>
    <t>ENSAYADO POR:</t>
  </si>
  <si>
    <t>Nº 140</t>
  </si>
  <si>
    <t>N°140</t>
  </si>
  <si>
    <t>PROMEDIO</t>
  </si>
  <si>
    <t>Descripción:</t>
  </si>
  <si>
    <t>Gravedad Especifica SSS (gr/cm3):</t>
  </si>
  <si>
    <t>Seco</t>
  </si>
  <si>
    <t>Multipunto</t>
  </si>
  <si>
    <t>% Retenido Acum. Tamiz N° 40</t>
  </si>
  <si>
    <t>Horno</t>
  </si>
  <si>
    <t>Peso Tara</t>
  </si>
  <si>
    <t>N° de Tara</t>
  </si>
  <si>
    <t>Arena Total Humeda</t>
  </si>
  <si>
    <t>Arena Total Seca</t>
  </si>
  <si>
    <t>Peso Total Grava</t>
  </si>
  <si>
    <t>Fraccion Humeda</t>
  </si>
  <si>
    <t>DIAMETRO</t>
  </si>
  <si>
    <t>NO TOCAR DATOS</t>
  </si>
  <si>
    <t>MUESTRA N°:</t>
  </si>
  <si>
    <t>N° 60</t>
  </si>
  <si>
    <t>TAMIZ N°</t>
  </si>
  <si>
    <t>LABORATORIO</t>
  </si>
  <si>
    <t>CLASIFICACION DE SUELOS Y MEZCLA DE SUELO - AGREGADO</t>
  </si>
  <si>
    <t>Datos deL Ensayo :</t>
  </si>
  <si>
    <t>ASTM D 3282-94</t>
  </si>
  <si>
    <t>Granulometria</t>
  </si>
  <si>
    <t>Determinación de Suelo:</t>
  </si>
  <si>
    <t>% Que pasa</t>
  </si>
  <si>
    <t>Determinación de Grupo (Granulares):</t>
  </si>
  <si>
    <t>TABLA 2   Clasificación de Suelos y mezclas de Suelo-Agregado</t>
  </si>
  <si>
    <t>Nº10 (2.0 mm)</t>
  </si>
  <si>
    <t>Determinación de Grupo (Finos):</t>
  </si>
  <si>
    <t>Nº40 (0.425 mm)</t>
  </si>
  <si>
    <t>Determinación de Subgrupo (A-2):</t>
  </si>
  <si>
    <t>CLASIFICACION</t>
  </si>
  <si>
    <t>Materiales Granulares</t>
  </si>
  <si>
    <t>Materiales Limosos - Arcillosos</t>
  </si>
  <si>
    <t>Suelos</t>
  </si>
  <si>
    <t>Nº200 (0.075 mm)</t>
  </si>
  <si>
    <t>Determinación de Subgrupo (A-7):</t>
  </si>
  <si>
    <t>GENERAL</t>
  </si>
  <si>
    <t>( 35% o menos del total pasa N° 200 )</t>
  </si>
  <si>
    <t>( M as del 35% del total pasa N° 200 )</t>
  </si>
  <si>
    <t>Orgánicos</t>
  </si>
  <si>
    <t>LIMITES</t>
  </si>
  <si>
    <t>Determinación de Indice de Grupo:</t>
  </si>
  <si>
    <t>Clasificación</t>
  </si>
  <si>
    <t>A - 1</t>
  </si>
  <si>
    <t>A - 3</t>
  </si>
  <si>
    <t>A - 2</t>
  </si>
  <si>
    <t>A - 4</t>
  </si>
  <si>
    <t>A - 5</t>
  </si>
  <si>
    <t>A - 6</t>
  </si>
  <si>
    <t>A - 7</t>
  </si>
  <si>
    <t>A - 8</t>
  </si>
  <si>
    <t>Liquido</t>
  </si>
  <si>
    <t>de</t>
  </si>
  <si>
    <t>A - 1 - a</t>
  </si>
  <si>
    <t>A - 1 - b</t>
  </si>
  <si>
    <t>A - 2 - 4</t>
  </si>
  <si>
    <t>A - 2 - 5</t>
  </si>
  <si>
    <t>A - 2 - 6</t>
  </si>
  <si>
    <t>A - 2 - 7</t>
  </si>
  <si>
    <t>A - 7 - 5</t>
  </si>
  <si>
    <t>Indice Plástico</t>
  </si>
  <si>
    <t>Grupo</t>
  </si>
  <si>
    <t>A - 7 - 6</t>
  </si>
  <si>
    <t>El Suelo es :</t>
  </si>
  <si>
    <t>Granulometría</t>
  </si>
  <si>
    <t>% que pasa</t>
  </si>
  <si>
    <t>Inspec.</t>
  </si>
  <si>
    <t>N°  10</t>
  </si>
  <si>
    <t xml:space="preserve"> 50 máx.</t>
  </si>
  <si>
    <t xml:space="preserve"> . . .</t>
  </si>
  <si>
    <t xml:space="preserve"> . . . </t>
  </si>
  <si>
    <t>Visual:</t>
  </si>
  <si>
    <t>N°  40</t>
  </si>
  <si>
    <t xml:space="preserve"> 30 máx.</t>
  </si>
  <si>
    <t xml:space="preserve"> 51 mín</t>
  </si>
  <si>
    <t>Materia</t>
  </si>
  <si>
    <t>N°  200</t>
  </si>
  <si>
    <t xml:space="preserve"> 15 máx.</t>
  </si>
  <si>
    <t xml:space="preserve"> 25 máx.</t>
  </si>
  <si>
    <t xml:space="preserve"> 10 máx.</t>
  </si>
  <si>
    <t xml:space="preserve"> 35 máx.</t>
  </si>
  <si>
    <t xml:space="preserve"> 36 mín</t>
  </si>
  <si>
    <t>Orgánica,</t>
  </si>
  <si>
    <t>Límite Líquido</t>
  </si>
  <si>
    <t xml:space="preserve"> 40 máx</t>
  </si>
  <si>
    <t xml:space="preserve"> 41 mín</t>
  </si>
  <si>
    <t>Color ne -</t>
  </si>
  <si>
    <t>6 máx.</t>
  </si>
  <si>
    <t>NP</t>
  </si>
  <si>
    <t xml:space="preserve"> 11 mín</t>
  </si>
  <si>
    <t xml:space="preserve"> 11 mín *</t>
  </si>
  <si>
    <t>gro, Olor.</t>
  </si>
  <si>
    <t>Material</t>
  </si>
  <si>
    <t>Fragmentos de</t>
  </si>
  <si>
    <t>Arena</t>
  </si>
  <si>
    <t>Grava y Arena</t>
  </si>
  <si>
    <t>Turba o</t>
  </si>
  <si>
    <t>Constituyente</t>
  </si>
  <si>
    <t>piedra y Arena</t>
  </si>
  <si>
    <t>Limoso o Arcilloso</t>
  </si>
  <si>
    <t>Limosos</t>
  </si>
  <si>
    <t>Arcillosos</t>
  </si>
  <si>
    <t>Estiércol</t>
  </si>
  <si>
    <t>Evaluación</t>
  </si>
  <si>
    <t>Excelente a Bueno</t>
  </si>
  <si>
    <t>Bueno a pobre</t>
  </si>
  <si>
    <t>Malo</t>
  </si>
  <si>
    <t>General</t>
  </si>
  <si>
    <t xml:space="preserve">    * Ver gráfico; ( El indice plástico del sub-grupo A-7-5 es igual o menor que LL - 30. El índice plástico del sub-grupo A-7-6 es  mayor que LL - 30 )</t>
  </si>
  <si>
    <t xml:space="preserve">    Calcular ei índice de Grupo con la fórmula empirica : ( F - 35 ) [ 0,2 + 0,005 ( LL - 40 ) ] + 0,01 ( F - 15 ) ( IP - 10 )</t>
  </si>
  <si>
    <t xml:space="preserve">                           C:\ZUMARAN\SUELOS\431 Clasificación de Suelos AASHTO.</t>
  </si>
  <si>
    <t>14"</t>
  </si>
  <si>
    <t>16"</t>
  </si>
  <si>
    <t>18"</t>
  </si>
  <si>
    <t>Carta de Plasticidad</t>
  </si>
  <si>
    <t>INGRESAR DATOS COLOR ROJO</t>
  </si>
  <si>
    <t>Peso Total Global Humedo</t>
  </si>
  <si>
    <t>PESOS TOTALES HUMEDO</t>
  </si>
  <si>
    <t>Fraccion Humeda Neto</t>
  </si>
  <si>
    <t>W Fraccion</t>
  </si>
  <si>
    <t>N° TARAS       PESOS</t>
  </si>
  <si>
    <t>SI.ERROR(P40/$R$38*($F$11-SUMA($C$14:$C$31)),0)</t>
  </si>
  <si>
    <t>PARCIAL</t>
  </si>
  <si>
    <t>MÉTODO DE COMPACTACIÓN</t>
  </si>
  <si>
    <t>FRACCIÓN LAVADO FINO</t>
  </si>
  <si>
    <t>CORRECCIÓN POR HUMEDAD</t>
  </si>
  <si>
    <t>ESPECIFICACIÓN</t>
  </si>
  <si>
    <t>NO TOCAR,  DATOS…</t>
  </si>
  <si>
    <t>(In)</t>
  </si>
  <si>
    <t>DATOS PARA GRAFICO</t>
  </si>
  <si>
    <t>DATOS PARA CALCULO DE COEFICIENTES</t>
  </si>
  <si>
    <t>CALCULO DE % PASANTE/DIAMETROS INF. Y SUP.</t>
  </si>
  <si>
    <t>% PASA</t>
  </si>
  <si>
    <t>CU</t>
  </si>
  <si>
    <t>CC</t>
  </si>
  <si>
    <t>ESPECIFICACIONES DE MATERIALES PROYECTO</t>
  </si>
  <si>
    <t>CURVA GRANULOMÉTRICA</t>
  </si>
  <si>
    <t>N 200=</t>
  </si>
  <si>
    <t>L.L.</t>
  </si>
  <si>
    <t>N 4=</t>
  </si>
  <si>
    <t>CLASIFICACION SUCS</t>
  </si>
  <si>
    <t>I.P.</t>
  </si>
  <si>
    <t>L.L.=</t>
  </si>
  <si>
    <t>I.P.=</t>
  </si>
  <si>
    <t>DIVISIONES MAYORES</t>
  </si>
  <si>
    <t>SIMBOLO
DE GRUPO</t>
  </si>
  <si>
    <t>CRITERIOS DE CLASIFICACION
PARA SUELOS GRANULARES</t>
  </si>
  <si>
    <t>CLASIF</t>
  </si>
  <si>
    <t>SIMBOLOS
 DOBLES</t>
  </si>
  <si>
    <t>SIMBOLOS 
TRIPLES</t>
  </si>
  <si>
    <t>NOMBRE DEL GRUPO</t>
  </si>
  <si>
    <t>Suelos de grano grueso
(mas  del 50 % del material es mayor en tamaño que el tamiz No 200</t>
  </si>
  <si>
    <t>Gravas
(mas de la mitad de la fracción
gruesa es mayor que el tamiz No 4)</t>
  </si>
  <si>
    <t>Gravas Limpias
(poco o
ningun fino)</t>
  </si>
  <si>
    <t>Cu &gt; 4
1 &lt; Cc &lt; 3</t>
  </si>
  <si>
    <t>Gravas pobremente gradadas,`mezclas grava-arena, pocos o ningun fino</t>
  </si>
  <si>
    <t>No cumple todos los requisitos
de gradadcion para GW</t>
  </si>
  <si>
    <t>Gravas con finos
(cantidad apre-
ciable de finos)</t>
  </si>
  <si>
    <t>Gravas limosas, mezcla grava- arena-limo</t>
  </si>
  <si>
    <t>Límites de Atteberg por debajo de la linea A o Ip &lt; 4</t>
  </si>
  <si>
    <t>A los materiales sobre la linea A con 4 &lt; Ip &lt; 7 se considera de frontera y se les asigna doble símbolo</t>
  </si>
  <si>
    <t>Gravas arcillosas, mezcla gravo-areno-
arcillosas</t>
  </si>
  <si>
    <t>Límites de Atteberg por encima de la línea A ó Ip &gt; 7</t>
  </si>
  <si>
    <t>Arenas
(mas de la mitad de la fracción
gruesa es menor que el tamiz No 4)</t>
  </si>
  <si>
    <t>Arenas Limpias
(poco o
ningun fino)</t>
  </si>
  <si>
    <t>Arenas bien gradadas, arenas gravosas, 
pocos o ningun fino</t>
  </si>
  <si>
    <t>Cu &gt; 6
1 &lt; Cc &lt; 3</t>
  </si>
  <si>
    <t>Arenas pobremente gradadas, arenas
gravosas, pocos o ningun fino</t>
  </si>
  <si>
    <t>No cumple todos los requisitos
de gradadcion para SW</t>
  </si>
  <si>
    <t>Arenas con finos
(cantidad apre-
ciable de finos)</t>
  </si>
  <si>
    <t>Arenas limosas mezcla de arena-limo</t>
  </si>
  <si>
    <t>Límites de Atteberg
por debajo de la 
linea A ó Ip &lt; 4</t>
  </si>
  <si>
    <t>Si el material está
en la zona sombreada
 con 4 &lt; Ip &lt; 7 se
considera de 
frontera y se les
asigna doble
símbolo</t>
  </si>
  <si>
    <t>Arenas arcillosas, mezclas arena-arcilla</t>
  </si>
  <si>
    <t>Límites de Atteberg
por encima de la 
linea A ó Ip &gt; 7</t>
  </si>
  <si>
    <t>Suelos de grano fino
(mas  del 50 % del material pasa el tamiz No 200</t>
  </si>
  <si>
    <t>limos y arcillas
(Límite líquido wl&lt;50</t>
  </si>
  <si>
    <t>Limos inorgánicos y arena muy finas, polvo
de roca, arenas finas limosas o arcillosas,
o limos arcillosos con poca plasticidad</t>
  </si>
  <si>
    <t>1, Determinar el porcentaje de arenas y
     gravas de la curva granulometrica.
2, Dependiendo del porcentaje de fino
    (fracción menor que el tamiz No 200 los
     suelos gruesos se clasifican como sigue:
    Menos del 5%  - GW, GP, SW, SP 
    Mas del 12 %  -   GM, GC, SM, SC
    De 5 a 12 %  -  casos frontera que 
    requieren doble símbolo</t>
  </si>
  <si>
    <t>Arcillas inorganicas de plasticidad baja a
media, arcillas gravosas, arcillas arenosas,
arcillas limosas, arcillas magras.</t>
  </si>
  <si>
    <t>Limos organicos, arcillas limosas orgánicas
de baja plasticidad</t>
  </si>
  <si>
    <t>limos y arcillas
(Límite líquido wl&gt;50</t>
  </si>
  <si>
    <t>Limos inorganicos, suelos limosos o arenosos
finos micaceos o diatomaceos, suelos
elasticos.</t>
  </si>
  <si>
    <t>Arcillas organicas de alta plasticidad,
arcillas grasas.</t>
  </si>
  <si>
    <t>Arcillas organicas de plasticidad media a alta,
limos orgánicos</t>
  </si>
  <si>
    <t>Suelos Altamente orgánicos</t>
  </si>
  <si>
    <t>Resultados de la Clasificacion SUCS / AAHSTO</t>
  </si>
  <si>
    <t>AAHSTO N° 01</t>
  </si>
  <si>
    <t>AAHSTO N° 02</t>
  </si>
  <si>
    <t>SUCS N° 01</t>
  </si>
  <si>
    <t>SUCS N° 02</t>
  </si>
  <si>
    <t>SUCS N° 03</t>
  </si>
  <si>
    <t>---</t>
  </si>
  <si>
    <t>CLASIFICACIÓN</t>
  </si>
  <si>
    <t>COPIAR LA ECUACIÓN DEL GRÁFICO</t>
  </si>
  <si>
    <t>25 EXT</t>
  </si>
  <si>
    <t>25 INT</t>
  </si>
  <si>
    <t>PROM</t>
  </si>
  <si>
    <r>
      <t>Limite Liquido (1 punto) LL= W</t>
    </r>
    <r>
      <rPr>
        <vertAlign val="superscript"/>
        <sz val="9"/>
        <rFont val="Verdana"/>
        <family val="2"/>
      </rPr>
      <t>N</t>
    </r>
    <r>
      <rPr>
        <sz val="9"/>
        <rFont val="Verdana"/>
        <family val="2"/>
      </rPr>
      <t>(N/25)</t>
    </r>
    <r>
      <rPr>
        <vertAlign val="superscript"/>
        <sz val="9"/>
        <rFont val="Verdana"/>
        <family val="2"/>
      </rPr>
      <t>0.121</t>
    </r>
  </si>
  <si>
    <t>golpe</t>
  </si>
  <si>
    <t>lilmite liquido a 25 golpes</t>
  </si>
  <si>
    <t>Ret_N_200</t>
  </si>
  <si>
    <t>NO TOCAR DATO PARA HOJA DE CALCULO</t>
  </si>
  <si>
    <t>BASE GRANULAR</t>
  </si>
  <si>
    <t>SUBBASE GRANULAR</t>
  </si>
  <si>
    <t>CALCULO</t>
  </si>
  <si>
    <t>SOCIEDAD MINERA CERRO VERDE S.A.A.</t>
  </si>
  <si>
    <t>ID del Documento:</t>
  </si>
  <si>
    <t>QC-C-023</t>
  </si>
  <si>
    <t>ASEGURAMIENTO DE CALIDAD</t>
  </si>
  <si>
    <t xml:space="preserve">Revisión: </t>
  </si>
  <si>
    <t>Especialidad:</t>
  </si>
  <si>
    <t>Civil</t>
  </si>
  <si>
    <t>PROYECTO:</t>
  </si>
  <si>
    <t>TL SADDLE DAM SD1, SD2, SD4, SD5</t>
  </si>
  <si>
    <t>N° SISTEMA:</t>
  </si>
  <si>
    <t>PRODUCTO ENTREGABLE:</t>
  </si>
  <si>
    <t>CÓDIGO FACILIDAD:</t>
  </si>
  <si>
    <t>CONTRATISTA:</t>
  </si>
  <si>
    <t>ESPECIFICACIÓN:</t>
  </si>
  <si>
    <t>PLANOS:</t>
  </si>
  <si>
    <t xml:space="preserve">PÁGINA: </t>
  </si>
  <si>
    <t>DE</t>
  </si>
  <si>
    <t>QC-C-028</t>
  </si>
  <si>
    <t>% GRAVA &gt; N°4</t>
  </si>
  <si>
    <t>Peso Inicial</t>
  </si>
  <si>
    <t xml:space="preserve">OBSERVACIONES: </t>
  </si>
  <si>
    <t>% ARENA &lt; N°4</t>
  </si>
  <si>
    <t>DESCRIPCIÓN DE LA MUESTRA</t>
  </si>
  <si>
    <t>Clasificación (S.U.C.S.) ASTM D2487:</t>
  </si>
  <si>
    <t>Límite Líquido (LL) ASTM D4318:</t>
  </si>
  <si>
    <t>Límite Plástico (LP) ASTM D4318:</t>
  </si>
  <si>
    <t>EETT MIN</t>
  </si>
  <si>
    <t>% RETENIDO</t>
  </si>
  <si>
    <t>Total:</t>
  </si>
  <si>
    <t>Fracción seca Lavada + T</t>
  </si>
  <si>
    <t>Fondo</t>
  </si>
  <si>
    <t>FECHA MUESTREO:</t>
  </si>
  <si>
    <t>FECHA ENSAYO:</t>
  </si>
  <si>
    <t>% de Suelo que pasa la Malla N°200 (ASTM D1140)</t>
  </si>
  <si>
    <t>N°</t>
  </si>
  <si>
    <t>RELLENO DE MATERIAL DE NÚCLEO</t>
  </si>
  <si>
    <t>Índice Plástico (IP) ASTM D4318:</t>
  </si>
  <si>
    <t>Características Granulométricas:</t>
  </si>
  <si>
    <t>Método Preparación:</t>
  </si>
  <si>
    <t xml:space="preserve">Método de Ensayo: </t>
  </si>
  <si>
    <t>Descripción de la Muestra:</t>
  </si>
  <si>
    <t>Método de Secado:</t>
  </si>
  <si>
    <t>Material Argílico Z3, "APROBADO" Cumple con los requisitos de limite liquido (LL) exigidos por las EETT.</t>
  </si>
  <si>
    <t>Material Argílico Z3, "APROBADO" Cumple con los requisitos de Índice de Plasticidad (IP) exigidos por las EETT.</t>
  </si>
  <si>
    <t>SGS DEL PERÚ S.A.C.</t>
  </si>
  <si>
    <t>Zona 3 - Núcleo</t>
  </si>
  <si>
    <t>Se realizó el muestreo en coordinación con la supervisión QA STANTEC, para verificación del cumplimiento de las EETT, "CUMPLE".</t>
  </si>
  <si>
    <t>Item</t>
  </si>
  <si>
    <t>Código de Registro</t>
  </si>
  <si>
    <t>Fecha de Ensayo
(Muestreo)</t>
  </si>
  <si>
    <t>Procedencia de la Muestra</t>
  </si>
  <si>
    <t>Ensayo Realizado</t>
  </si>
  <si>
    <t>Análisis Granulométrico % Que pasa
(ASTM D6913)</t>
  </si>
  <si>
    <t>Límites Atterberg
ASTM D4318</t>
  </si>
  <si>
    <t>SUCS
ASTM D2487</t>
  </si>
  <si>
    <t>Humedad Natural 
ASTM D2216 (%)</t>
  </si>
  <si>
    <t>Proctor Realizado</t>
  </si>
  <si>
    <t>Gravedad Especifica del Agregado Grueso
ASTM C127</t>
  </si>
  <si>
    <t>Gravedad Especifica de los Solidos
ASTM D854</t>
  </si>
  <si>
    <t>Proctor Sin Corregir
ASTM D698</t>
  </si>
  <si>
    <t>Corrección por Sobretamaño
ASTM D4718</t>
  </si>
  <si>
    <t>Cumplimiento EETT
(Cumple / No Cumple)</t>
  </si>
  <si>
    <t>OBSERVACIONES</t>
  </si>
  <si>
    <t>Copia Controlada
(Cerrado / Pendiente)</t>
  </si>
  <si>
    <t>QC
Responsable</t>
  </si>
  <si>
    <t>N°8</t>
  </si>
  <si>
    <t>Método Realizado</t>
  </si>
  <si>
    <t>P.E.</t>
  </si>
  <si>
    <t>Absor.</t>
  </si>
  <si>
    <r>
      <t>D</t>
    </r>
    <r>
      <rPr>
        <b/>
        <vertAlign val="subscript"/>
        <sz val="11"/>
        <color indexed="9"/>
        <rFont val="Arial"/>
        <family val="2"/>
      </rPr>
      <t>max</t>
    </r>
    <r>
      <rPr>
        <b/>
        <sz val="11"/>
        <color indexed="9"/>
        <rFont val="Arial"/>
        <family val="2"/>
      </rPr>
      <t xml:space="preserve"> </t>
    </r>
    <r>
      <rPr>
        <b/>
        <sz val="9"/>
        <color indexed="9"/>
        <rFont val="Arial"/>
        <family val="2"/>
      </rPr>
      <t>(g/cm3)</t>
    </r>
  </si>
  <si>
    <r>
      <t>h</t>
    </r>
    <r>
      <rPr>
        <b/>
        <vertAlign val="subscript"/>
        <sz val="11"/>
        <color indexed="9"/>
        <rFont val="Arial"/>
        <family val="2"/>
      </rPr>
      <t>opt</t>
    </r>
    <r>
      <rPr>
        <b/>
        <sz val="11"/>
        <color indexed="9"/>
        <rFont val="Arial"/>
        <family val="2"/>
      </rPr>
      <t xml:space="preserve"> (%)</t>
    </r>
  </si>
  <si>
    <t>Granulometría, Humedad, Límites, Gravedad especifica, Proctor</t>
  </si>
  <si>
    <t>Estándar</t>
  </si>
  <si>
    <t>Cumple</t>
  </si>
  <si>
    <t>Cerrado</t>
  </si>
  <si>
    <t>Rocio C.</t>
  </si>
  <si>
    <t>NO TOCAR DATOS PARA GRÁFICO</t>
  </si>
  <si>
    <t>Masa Total Arena Húmeda: (&lt;N°4)</t>
  </si>
  <si>
    <t>Masa Total Arena Seca: (&lt;N°4)</t>
  </si>
  <si>
    <t>Masa Total Grava Seca: (&gt;N°4)</t>
  </si>
  <si>
    <t>Masa Fracción Húmeda: (&lt;N°4)</t>
  </si>
  <si>
    <t>Masa Fracción Fina Lavada:</t>
  </si>
  <si>
    <t>Masa Pasante N°200</t>
  </si>
  <si>
    <t>MASA TARRO + SUELO HUMEDO</t>
  </si>
  <si>
    <t>MASA TARRO + SUELO SECO</t>
  </si>
  <si>
    <t>MASA DE AGUA</t>
  </si>
  <si>
    <t>MASA DEL TARRO</t>
  </si>
  <si>
    <t>MASA DEL SUELO SECO</t>
  </si>
  <si>
    <t>MASA</t>
  </si>
  <si>
    <t>RETENIDA</t>
  </si>
  <si>
    <t>Masa Total Global Húmeda:</t>
  </si>
  <si>
    <t>Ítem</t>
  </si>
  <si>
    <t>Granulometría - ASTM D6913</t>
  </si>
  <si>
    <t>Proctor Sin corregir
ASTM D698</t>
  </si>
  <si>
    <t>Ensayo Proctor Corregido
ASTM D 698</t>
  </si>
  <si>
    <t>Correción por sobretamaño
ASTM D4718</t>
  </si>
  <si>
    <t>1  1/2''</t>
  </si>
  <si>
    <t>3/4''</t>
  </si>
  <si>
    <t>N° 30</t>
  </si>
  <si>
    <t>N° 80</t>
  </si>
  <si>
    <t>Contenido de Humedad Óptima
Fracción Fina
(%)</t>
  </si>
  <si>
    <t>Máxima Densidad Seca
Fracción Fina
(g/cm3)</t>
  </si>
  <si>
    <t>Contenido de Humedad (%)</t>
  </si>
  <si>
    <t>Densidad Seca del Suelo (g/cm3)</t>
  </si>
  <si>
    <t>Contenido de Humedad Óptima
Corregida por grava (%)</t>
  </si>
  <si>
    <t>Máxima Densidad Seca Corregida
(g/cm3)</t>
  </si>
  <si>
    <t>CH1</t>
  </si>
  <si>
    <t>CH2</t>
  </si>
  <si>
    <t>CH3</t>
  </si>
  <si>
    <t>CH4</t>
  </si>
  <si>
    <t>CH5</t>
  </si>
  <si>
    <t>DS1</t>
  </si>
  <si>
    <t>DS2</t>
  </si>
  <si>
    <t>DS3</t>
  </si>
  <si>
    <t>DS4</t>
  </si>
  <si>
    <t>DS5</t>
  </si>
  <si>
    <t>Código  de Muestra</t>
  </si>
  <si>
    <t>Fecha de Ensayo</t>
  </si>
  <si>
    <t>Procedencia</t>
  </si>
  <si>
    <t>Ensayo solicitado</t>
  </si>
  <si>
    <t>2  1/2''</t>
  </si>
  <si>
    <t>Columna7</t>
  </si>
  <si>
    <t>No 4</t>
  </si>
  <si>
    <t>No 43</t>
  </si>
  <si>
    <t>No 42</t>
  </si>
  <si>
    <t>No 5</t>
  </si>
  <si>
    <t>No 52</t>
  </si>
  <si>
    <t>No 6</t>
  </si>
  <si>
    <t>No 40</t>
  </si>
  <si>
    <t>No 404</t>
  </si>
  <si>
    <t>No 403</t>
  </si>
  <si>
    <t>No 402</t>
  </si>
  <si>
    <t>No 41</t>
  </si>
  <si>
    <t>No 200</t>
  </si>
  <si>
    <t>LL (%)</t>
  </si>
  <si>
    <t>LP (%)</t>
  </si>
  <si>
    <t>IP (%)</t>
  </si>
  <si>
    <t>Clasificación2</t>
  </si>
  <si>
    <t>Humedad</t>
  </si>
  <si>
    <t>Proctor</t>
  </si>
  <si>
    <t>Método Proctor</t>
  </si>
  <si>
    <t>Columna1</t>
  </si>
  <si>
    <t>Columna2</t>
  </si>
  <si>
    <t>Columna3</t>
  </si>
  <si>
    <t>CH F. fina sin corregir (%)</t>
  </si>
  <si>
    <t>Máx. Den. Seca F. Fina (g/cm3)</t>
  </si>
  <si>
    <t>MC1 SC</t>
  </si>
  <si>
    <t>MC2
SC</t>
  </si>
  <si>
    <t>MC3
SC</t>
  </si>
  <si>
    <t>MC4
SC</t>
  </si>
  <si>
    <t>MC5
SC</t>
  </si>
  <si>
    <t>DS1
SC</t>
  </si>
  <si>
    <t>DS2
SC</t>
  </si>
  <si>
    <t>DS3
SC</t>
  </si>
  <si>
    <t>DS4
SC</t>
  </si>
  <si>
    <t>DS5
SC</t>
  </si>
  <si>
    <t>MC1
Corr.</t>
  </si>
  <si>
    <t>MC2
Corr.</t>
  </si>
  <si>
    <t>MC3
Corr.</t>
  </si>
  <si>
    <t>MC4
Corr.</t>
  </si>
  <si>
    <t>MC5
Corr.</t>
  </si>
  <si>
    <t>DS1
Corr.</t>
  </si>
  <si>
    <t>DS2
Corr.</t>
  </si>
  <si>
    <t>DS3
Corr.</t>
  </si>
  <si>
    <t>DS4
Corr.</t>
  </si>
  <si>
    <t>DS5
Corr.</t>
  </si>
  <si>
    <t>CHO Corregida por grava (%)</t>
  </si>
  <si>
    <t>Máx. Dens. Seca Corregida del Suelo (g/cm3)</t>
  </si>
  <si>
    <t>Columna4</t>
  </si>
  <si>
    <t>Copiar para Cuadro de Resumen</t>
  </si>
  <si>
    <t>CAP22027-C2-4000-0505-02/02</t>
  </si>
  <si>
    <t>CAP22027-C2-4000-0505</t>
  </si>
  <si>
    <t>CAP220271490000-C2-4000-10-CS-112_0</t>
  </si>
  <si>
    <t>ANÁLISIS GRANULOMÉTRICO POR TAMIZADO</t>
  </si>
  <si>
    <t>LIMITE LÍQUIDO, LÍMITE PLÁSTICO E ÍNDICE DE PLASTICIDAD</t>
  </si>
  <si>
    <t xml:space="preserve">LÍMITE  LÍQUIDO </t>
  </si>
  <si>
    <t xml:space="preserve">LÍMITE  PLÁSTICO </t>
  </si>
  <si>
    <t>LMITE LÍQUIDO</t>
  </si>
  <si>
    <t>LÍMITE PLÁSTICO</t>
  </si>
  <si>
    <t>ÍNDICE DE PLASTICIDAD</t>
  </si>
  <si>
    <t>D-04</t>
  </si>
  <si>
    <t>6''</t>
  </si>
  <si>
    <t>5''</t>
  </si>
  <si>
    <t>4''</t>
  </si>
  <si>
    <t>3''</t>
  </si>
  <si>
    <t>2''</t>
  </si>
  <si>
    <t>5  1/2''</t>
  </si>
  <si>
    <t>4  1/2''</t>
  </si>
  <si>
    <t>3  1/2''</t>
  </si>
  <si>
    <t>0  1/2''</t>
  </si>
  <si>
    <t>C-18</t>
  </si>
  <si>
    <t>D-10</t>
  </si>
  <si>
    <t>B-16</t>
  </si>
  <si>
    <t>E-04</t>
  </si>
  <si>
    <t>E-19</t>
  </si>
  <si>
    <t>E-11</t>
  </si>
  <si>
    <t>E-13</t>
  </si>
  <si>
    <t>E-20</t>
  </si>
  <si>
    <t>TAMAÑO MÁXIMO EETT:</t>
  </si>
  <si>
    <t>P. DE TAZONES CIRCULARES</t>
  </si>
  <si>
    <t>T-01</t>
  </si>
  <si>
    <t>T-02</t>
  </si>
  <si>
    <t>T-03</t>
  </si>
  <si>
    <t>T-04</t>
  </si>
  <si>
    <t>T-05</t>
  </si>
  <si>
    <t>T-06</t>
  </si>
  <si>
    <t>T-07</t>
  </si>
  <si>
    <t>T-08</t>
  </si>
  <si>
    <t>T-09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</si>
  <si>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</si>
  <si>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</si>
  <si>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</si>
  <si>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</si>
  <si>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</si>
  <si>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</si>
  <si>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</si>
  <si>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</si>
  <si>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</si>
  <si>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</si>
  <si>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</si>
  <si>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</si>
  <si>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</si>
  <si>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</si>
  <si>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</si>
  <si>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</si>
  <si>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</si>
  <si>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</si>
  <si>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</si>
  <si>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</si>
  <si>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</si>
  <si>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</si>
  <si>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</si>
  <si>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</si>
  <si>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</si>
  <si>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</si>
  <si>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</si>
  <si>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</si>
  <si>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</si>
  <si>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</si>
  <si>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</si>
  <si>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</si>
  <si>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</si>
  <si>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</si>
  <si>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</si>
  <si>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</si>
  <si>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</si>
  <si>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</si>
  <si>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</si>
  <si>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D-01</t>
  </si>
  <si>
    <t>D-02</t>
  </si>
  <si>
    <t>D-03</t>
  </si>
  <si>
    <t>D-05</t>
  </si>
  <si>
    <t>D-06</t>
  </si>
  <si>
    <t>D-07</t>
  </si>
  <si>
    <t>D-08</t>
  </si>
  <si>
    <t>D-09</t>
  </si>
  <si>
    <t>D-11</t>
  </si>
  <si>
    <t>D-12</t>
  </si>
  <si>
    <t>D-13</t>
  </si>
  <si>
    <t>D-14</t>
  </si>
  <si>
    <t>D-15</t>
  </si>
  <si>
    <t>D-16</t>
  </si>
  <si>
    <t>D-17</t>
  </si>
  <si>
    <t>D-18</t>
  </si>
  <si>
    <t>D-19</t>
  </si>
  <si>
    <t>D-20</t>
  </si>
  <si>
    <t>D-21</t>
  </si>
  <si>
    <t>D-22</t>
  </si>
  <si>
    <t>D-23</t>
  </si>
  <si>
    <t>D-24</t>
  </si>
  <si>
    <t>D-25</t>
  </si>
  <si>
    <t>B-01</t>
  </si>
  <si>
    <t>B-02</t>
  </si>
  <si>
    <t>B-03</t>
  </si>
  <si>
    <t>B-04</t>
  </si>
  <si>
    <t>B-05</t>
  </si>
  <si>
    <t>B-06</t>
  </si>
  <si>
    <t>B-07</t>
  </si>
  <si>
    <t>B-08</t>
  </si>
  <si>
    <t>B-09</t>
  </si>
  <si>
    <t>B-10</t>
  </si>
  <si>
    <t>B-11</t>
  </si>
  <si>
    <t>B-12</t>
  </si>
  <si>
    <t>B-13</t>
  </si>
  <si>
    <t>B-14</t>
  </si>
  <si>
    <t>B-15</t>
  </si>
  <si>
    <t>B-17</t>
  </si>
  <si>
    <t>B-18</t>
  </si>
  <si>
    <t>B-19</t>
  </si>
  <si>
    <t>B-20</t>
  </si>
  <si>
    <t>B-21</t>
  </si>
  <si>
    <t>B-22</t>
  </si>
  <si>
    <t>B-23</t>
  </si>
  <si>
    <t>B-24</t>
  </si>
  <si>
    <t>B-25</t>
  </si>
  <si>
    <t>C-01</t>
  </si>
  <si>
    <t>C-02</t>
  </si>
  <si>
    <t>C-03</t>
  </si>
  <si>
    <t>C-04</t>
  </si>
  <si>
    <t>C-05</t>
  </si>
  <si>
    <t>C-06</t>
  </si>
  <si>
    <t>C-07</t>
  </si>
  <si>
    <t>C-08</t>
  </si>
  <si>
    <t>C-09</t>
  </si>
  <si>
    <t>C-10</t>
  </si>
  <si>
    <t>C-11</t>
  </si>
  <si>
    <t>C-12</t>
  </si>
  <si>
    <t>C-13</t>
  </si>
  <si>
    <t>C-14</t>
  </si>
  <si>
    <t>C-15</t>
  </si>
  <si>
    <t>C-16</t>
  </si>
  <si>
    <t>C-17</t>
  </si>
  <si>
    <t>C-19</t>
  </si>
  <si>
    <t>C-20</t>
  </si>
  <si>
    <t>C-21</t>
  </si>
  <si>
    <t>C-22</t>
  </si>
  <si>
    <t>C-23</t>
  </si>
  <si>
    <t>C-24</t>
  </si>
  <si>
    <t>C-25</t>
  </si>
  <si>
    <t>E-01</t>
  </si>
  <si>
    <t>E-02</t>
  </si>
  <si>
    <t>E-03</t>
  </si>
  <si>
    <t>E-05</t>
  </si>
  <si>
    <t>E-06</t>
  </si>
  <si>
    <t>E-07</t>
  </si>
  <si>
    <t>E-08</t>
  </si>
  <si>
    <t>E-09</t>
  </si>
  <si>
    <t>E-10</t>
  </si>
  <si>
    <t>E-12</t>
  </si>
  <si>
    <t>E-14</t>
  </si>
  <si>
    <t>E-15</t>
  </si>
  <si>
    <t>E-16</t>
  </si>
  <si>
    <t>E-17</t>
  </si>
  <si>
    <t>E-18</t>
  </si>
  <si>
    <t>E-21</t>
  </si>
  <si>
    <t>E-22</t>
  </si>
  <si>
    <t>E-23</t>
  </si>
  <si>
    <t>E-24</t>
  </si>
  <si>
    <t>E-25</t>
  </si>
  <si>
    <t>Material Pasante de N°200</t>
  </si>
  <si>
    <t>Tamaño máximo de Partícula</t>
  </si>
  <si>
    <t>Mínimo Contenido de Finos</t>
  </si>
  <si>
    <t>N° Tamaño Tamiz (mm)</t>
  </si>
  <si>
    <t>% Pasante</t>
  </si>
  <si>
    <t>Tamaño Tamiz (mm)</t>
  </si>
  <si>
    <t>ANÁLISIS GRANULOMÉTRICO POR TAMIZADO (ASTM D6913, ASTM D1140, ASTM D5519)</t>
  </si>
  <si>
    <t>LÍMITES DE CONSISTENCIA (ASTM D4318)</t>
  </si>
  <si>
    <t>CONSTANTES FÍSICAS DE LA MUESTRA</t>
  </si>
  <si>
    <t>Humedad Corrección (&lt;N°4):</t>
  </si>
  <si>
    <t>SGS-C-Z3-025</t>
  </si>
  <si>
    <t>SD5- Plataforma de Acopio Zona 3 DP16 - Pila N° 25</t>
  </si>
  <si>
    <t>C-Z3-GR-025</t>
  </si>
  <si>
    <t>C-Z3-LA-025</t>
  </si>
  <si>
    <t>Masa Fracción Seca: (&lt;N°4)</t>
  </si>
  <si>
    <t>Masa Total Global Seca:</t>
  </si>
  <si>
    <t>ENSAYO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</si>
</sst>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_ * #,##0.00_ ;_ * \-#,##0.00_ ;_ * &quot;-&quot;??_ ;_ @_ "/>
    <numFmt numFmtId="165" formatCode="&quot;LAB-S-AG-&quot;000"/>
    <numFmt numFmtId="166" formatCode="&quot;C-&quot;0#"/>
    <numFmt numFmtId="167" formatCode="0.000"/>
    <numFmt numFmtId="168" formatCode="#,##0.0"/>
    <numFmt numFmtId="169" formatCode="0.0"/>
    <numFmt numFmtId="170" formatCode="_([$€-2]\ * #,##0.00_);_([$€-2]\ * \(#,##0.00\);_([$€-2]\ * &quot;-&quot;??_)"/>
    <numFmt numFmtId="171" formatCode="_-* #,##0.00\ _€_-;\-* #,##0.00\ _€_-;_-* &quot;-&quot;??\ _€_-;_-@_-"/>
    <numFmt numFmtId="172" formatCode="0.0000"/>
    <numFmt numFmtId="173" formatCode="#,##0.000"/>
    <numFmt numFmtId="174" formatCode="#\L"/>
    <numFmt numFmtId="175" formatCode="#\P"/>
    <numFmt numFmtId="176" formatCode="0\ &quot;(%)&quot;"/>
    <numFmt numFmtId="177" formatCode="0.0\ &quot;(%)&quot;"/>
    <numFmt numFmtId="178" formatCode="0.0\ &quot;(g)&quot;"/>
    <numFmt numFmtId="179" formatCode="&quot;ARGILICO ZONA 3 (Z3) - PILA N°&quot;000"/>
    <numFmt numFmtId="180" formatCode="&quot;BV-LAB-Z3-&quot;000"/>
    <numFmt numFmtId="181" formatCode="&quot;BV-LAB-G-&quot;000"/>
    <numFmt numFmtId="182" formatCode="&quot;Acopio N° &quot;00"/>
    <numFmt numFmtId="183" formatCode="&quot;QC-C-&quot;000"/>
    <numFmt numFmtId="184" formatCode="dd\-mm\-yy"/>
    <numFmt numFmtId="185" formatCode="&quot;SGS-Z2B-TF-&quot;000"/>
    <numFmt numFmtId="186" formatCode="#,#00\ &quot;(g)&quot;"/>
    <numFmt numFmtId="187" formatCode="[$-409]d\-mmm\-yy;@"/>
    <numFmt numFmtId="188" formatCode="&quot;R-ALC-01-11/&quot;00#"/>
  </numFmts>
  <fonts count="156">
    <font>
      <sz val="11"/>
      <color theme="1"/>
      <name val="Calibri"/>
      <family val="2"/>
      <scheme val="minor"/>
    </font>
    <font>
      <sz val="10"/>
      <name val="Univers (W1)"/>
    </font>
    <font>
      <b/>
      <sz val="10"/>
      <name val="Verdana"/>
      <family val="2"/>
    </font>
    <font>
      <b/>
      <sz val="8"/>
      <name val="Verdana"/>
      <family val="2"/>
    </font>
    <font>
      <sz val="10"/>
      <name val="Arial"/>
      <family val="2"/>
    </font>
    <font>
      <sz val="10"/>
      <name val="Verdana"/>
      <family val="2"/>
    </font>
    <font>
      <sz val="9"/>
      <name val="Verdana"/>
      <family val="2"/>
    </font>
    <font>
      <sz val="8"/>
      <name val="Verdana"/>
      <family val="2"/>
    </font>
    <font>
      <sz val="9"/>
      <name val="Times New Roman"/>
      <family val="1"/>
    </font>
    <font>
      <sz val="8"/>
      <color theme="1"/>
      <name val="Calibri"/>
      <family val="2"/>
      <scheme val="minor"/>
    </font>
    <font>
      <sz val="8"/>
      <color theme="1"/>
      <name val="Verdana"/>
      <family val="2"/>
    </font>
    <font>
      <sz val="8"/>
      <name val="Arial"/>
      <family val="2"/>
    </font>
    <font>
      <b/>
      <sz val="8"/>
      <name val="Arial"/>
      <family val="2"/>
    </font>
    <font>
      <sz val="8"/>
      <name val="Univers (W1)"/>
    </font>
    <font>
      <u/>
      <sz val="11"/>
      <color theme="10"/>
      <name val="Calibri"/>
      <family val="2"/>
      <scheme val="minor"/>
    </font>
    <font>
      <b/>
      <sz val="10"/>
      <color indexed="12"/>
      <name val="Arial"/>
      <family val="2"/>
    </font>
    <font>
      <b/>
      <u/>
      <sz val="12"/>
      <color rgb="FFFF0000"/>
      <name val="Arial"/>
      <family val="2"/>
    </font>
    <font>
      <sz val="8"/>
      <color indexed="60"/>
      <name val="Arial"/>
      <family val="2"/>
    </font>
    <font>
      <b/>
      <sz val="11"/>
      <name val="Arial"/>
      <family val="2"/>
    </font>
    <font>
      <b/>
      <sz val="12"/>
      <color indexed="60"/>
      <name val="Arial"/>
      <family val="2"/>
    </font>
    <font>
      <sz val="11"/>
      <name val="Calibri"/>
      <family val="2"/>
      <scheme val="minor"/>
    </font>
    <font>
      <sz val="10"/>
      <color indexed="9"/>
      <name val="Arial"/>
      <family val="2"/>
    </font>
    <font>
      <sz val="10"/>
      <color indexed="10"/>
      <name val="Arial"/>
      <family val="2"/>
    </font>
    <font>
      <sz val="10"/>
      <color indexed="12"/>
      <name val="Arial"/>
      <family val="2"/>
    </font>
    <font>
      <b/>
      <sz val="9"/>
      <name val="Arial"/>
      <family val="2"/>
    </font>
    <font>
      <sz val="10"/>
      <name val="Times New Roman"/>
      <family val="1"/>
    </font>
    <font>
      <sz val="12"/>
      <name val="Arial"/>
      <family val="2"/>
    </font>
    <font>
      <b/>
      <sz val="12"/>
      <name val="Arial"/>
      <family val="2"/>
    </font>
    <font>
      <b/>
      <i/>
      <sz val="8"/>
      <name val="Arial"/>
      <family val="2"/>
    </font>
    <font>
      <b/>
      <sz val="10"/>
      <color indexed="10"/>
      <name val="Univers (W1)"/>
    </font>
    <font>
      <b/>
      <sz val="10"/>
      <name val="Arial"/>
      <family val="2"/>
    </font>
    <font>
      <b/>
      <sz val="8"/>
      <color indexed="60"/>
      <name val="Times New Roman"/>
      <family val="1"/>
    </font>
    <font>
      <sz val="10"/>
      <color rgb="FFFF0000"/>
      <name val="Arial"/>
      <family val="2"/>
    </font>
    <font>
      <b/>
      <sz val="10"/>
      <color indexed="9"/>
      <name val="Arial"/>
      <family val="2"/>
    </font>
    <font>
      <b/>
      <sz val="14"/>
      <name val="Arial"/>
      <family val="2"/>
    </font>
    <font>
      <b/>
      <sz val="10"/>
      <color indexed="10"/>
      <name val="Arial"/>
      <family val="2"/>
    </font>
    <font>
      <b/>
      <sz val="9"/>
      <name val="Verdana"/>
      <family val="2"/>
    </font>
    <font>
      <b/>
      <i/>
      <sz val="10"/>
      <name val="Arial"/>
      <family val="2"/>
    </font>
    <font>
      <vertAlign val="superscript"/>
      <sz val="9"/>
      <name val="Verdana"/>
      <family val="2"/>
    </font>
    <font>
      <b/>
      <sz val="10"/>
      <color rgb="FFFF0000"/>
      <name val="Arial"/>
      <family val="2"/>
    </font>
    <font>
      <sz val="9"/>
      <name val="Arial"/>
      <family val="2"/>
    </font>
    <font>
      <b/>
      <sz val="15"/>
      <name val="Arial"/>
      <family val="2"/>
    </font>
    <font>
      <b/>
      <sz val="9"/>
      <color theme="1"/>
      <name val="Verdana"/>
      <family val="2"/>
    </font>
    <font>
      <sz val="6"/>
      <name val="Arial"/>
      <family val="2"/>
    </font>
    <font>
      <b/>
      <sz val="8"/>
      <color indexed="9"/>
      <name val="Arial"/>
      <family val="2"/>
    </font>
    <font>
      <sz val="9"/>
      <color theme="0"/>
      <name val="Verdana"/>
      <family val="2"/>
    </font>
    <font>
      <u/>
      <sz val="10"/>
      <name val="Arial"/>
      <family val="2"/>
    </font>
    <font>
      <sz val="8"/>
      <color indexed="81"/>
      <name val="Tahoma"/>
      <family val="2"/>
    </font>
    <font>
      <sz val="10"/>
      <color indexed="62"/>
      <name val="Arial"/>
      <family val="2"/>
    </font>
    <font>
      <b/>
      <u/>
      <sz val="10"/>
      <name val="Arial"/>
      <family val="2"/>
    </font>
    <font>
      <b/>
      <sz val="10"/>
      <color indexed="62"/>
      <name val="Arial"/>
      <family val="2"/>
    </font>
    <font>
      <sz val="14"/>
      <name val="Arial"/>
      <family val="2"/>
    </font>
    <font>
      <b/>
      <sz val="8"/>
      <color indexed="81"/>
      <name val="Tahoma"/>
      <family val="2"/>
    </font>
    <font>
      <b/>
      <sz val="20"/>
      <name val="Arial"/>
      <family val="2"/>
    </font>
    <font>
      <b/>
      <sz val="13"/>
      <name val="Arial"/>
      <family val="2"/>
    </font>
    <font>
      <b/>
      <sz val="12"/>
      <color indexed="12"/>
      <name val="Arial"/>
      <family val="2"/>
    </font>
    <font>
      <sz val="20"/>
      <name val="Arial"/>
      <family val="2"/>
    </font>
    <font>
      <sz val="15"/>
      <name val="Arial"/>
      <family val="2"/>
    </font>
    <font>
      <sz val="12"/>
      <color indexed="12"/>
      <name val="Arial"/>
      <family val="2"/>
    </font>
    <font>
      <b/>
      <sz val="12"/>
      <color indexed="9"/>
      <name val="Arial"/>
      <family val="2"/>
    </font>
    <font>
      <sz val="13"/>
      <name val="Arial"/>
      <family val="2"/>
    </font>
    <font>
      <b/>
      <sz val="16"/>
      <name val="Arial"/>
      <family val="2"/>
    </font>
    <font>
      <b/>
      <sz val="15"/>
      <color indexed="12"/>
      <name val="Arial"/>
      <family val="2"/>
    </font>
    <font>
      <sz val="9"/>
      <color indexed="10"/>
      <name val="Arial"/>
      <family val="2"/>
    </font>
    <font>
      <sz val="11"/>
      <color indexed="10"/>
      <name val="Arial"/>
      <family val="2"/>
    </font>
    <font>
      <sz val="12"/>
      <color indexed="10"/>
      <name val="Arial"/>
      <family val="2"/>
    </font>
    <font>
      <b/>
      <sz val="16"/>
      <color indexed="9"/>
      <name val="Arial"/>
      <family val="2"/>
    </font>
    <font>
      <b/>
      <sz val="10"/>
      <color indexed="53"/>
      <name val="Arial"/>
      <family val="2"/>
    </font>
    <font>
      <sz val="20"/>
      <color indexed="9"/>
      <name val="Arial"/>
      <family val="2"/>
    </font>
    <font>
      <b/>
      <sz val="10"/>
      <color indexed="20"/>
      <name val="Arial"/>
      <family val="2"/>
    </font>
    <font>
      <sz val="8"/>
      <color theme="0"/>
      <name val="Verdana"/>
      <family val="2"/>
    </font>
    <font>
      <i/>
      <sz val="10"/>
      <name val="Arial"/>
      <family val="2"/>
    </font>
    <font>
      <sz val="9"/>
      <color indexed="81"/>
      <name val="Tahoma"/>
      <family val="2"/>
    </font>
    <font>
      <b/>
      <sz val="9"/>
      <color indexed="81"/>
      <name val="Tahoma"/>
      <family val="2"/>
    </font>
    <font>
      <sz val="8"/>
      <color rgb="FFFF0000"/>
      <name val="Verdana"/>
      <family val="2"/>
    </font>
    <font>
      <b/>
      <sz val="8"/>
      <color rgb="FFFF0000"/>
      <name val="Arial"/>
      <family val="2"/>
    </font>
    <font>
      <sz val="9"/>
      <color rgb="FFFF0000"/>
      <name val="Verdana"/>
      <family val="2"/>
    </font>
    <font>
      <u/>
      <sz val="7"/>
      <name val="Arial"/>
      <family val="2"/>
    </font>
    <font>
      <b/>
      <sz val="9"/>
      <color rgb="FFFF0000"/>
      <name val="Verdana"/>
      <family val="2"/>
    </font>
    <font>
      <sz val="9"/>
      <color theme="1"/>
      <name val="Verdana"/>
      <family val="2"/>
    </font>
    <font>
      <sz val="9"/>
      <color indexed="60"/>
      <name val="Verdana"/>
      <family val="2"/>
    </font>
    <font>
      <sz val="9"/>
      <color theme="0"/>
      <name val="Arial"/>
      <family val="2"/>
    </font>
    <font>
      <sz val="9"/>
      <color indexed="18"/>
      <name val="Verdana"/>
      <family val="2"/>
    </font>
    <font>
      <b/>
      <sz val="9"/>
      <color indexed="60"/>
      <name val="Verdana"/>
      <family val="2"/>
    </font>
    <font>
      <b/>
      <u/>
      <sz val="10"/>
      <color rgb="FFFF0000"/>
      <name val="Verdana"/>
      <family val="2"/>
    </font>
    <font>
      <sz val="9"/>
      <color theme="1" tint="0.14999847407452621"/>
      <name val="Verdana"/>
      <family val="2"/>
    </font>
    <font>
      <b/>
      <sz val="11"/>
      <color rgb="FFFF0000"/>
      <name val="Calibri"/>
      <family val="2"/>
      <scheme val="minor"/>
    </font>
    <font>
      <b/>
      <sz val="10"/>
      <color theme="1"/>
      <name val="Verdana"/>
      <family val="2"/>
    </font>
    <font>
      <sz val="14"/>
      <name val="Calibri"/>
      <family val="2"/>
      <scheme val="minor"/>
    </font>
    <font>
      <sz val="9"/>
      <color indexed="10"/>
      <name val="Verdana"/>
      <family val="2"/>
    </font>
    <font>
      <sz val="9"/>
      <color theme="0" tint="-0.34998626667073579"/>
      <name val="Verdana"/>
      <family val="2"/>
    </font>
    <font>
      <b/>
      <sz val="9"/>
      <color rgb="FFC00000"/>
      <name val="Verdana"/>
      <family val="2"/>
    </font>
    <font>
      <b/>
      <sz val="18"/>
      <color indexed="13"/>
      <name val="Algerian"/>
      <family val="5"/>
    </font>
    <font>
      <b/>
      <sz val="10"/>
      <color indexed="51"/>
      <name val="Arial"/>
      <family val="2"/>
    </font>
    <font>
      <b/>
      <sz val="11"/>
      <color indexed="9"/>
      <name val="Arial Black"/>
      <family val="2"/>
    </font>
    <font>
      <b/>
      <sz val="10"/>
      <color indexed="8"/>
      <name val="Arial"/>
      <family val="2"/>
    </font>
    <font>
      <b/>
      <i/>
      <sz val="12"/>
      <color indexed="13"/>
      <name val="Arial"/>
      <family val="2"/>
    </font>
    <font>
      <b/>
      <sz val="14"/>
      <color indexed="9"/>
      <name val="Arial"/>
      <family val="2"/>
    </font>
    <font>
      <b/>
      <sz val="9"/>
      <color indexed="9"/>
      <name val="Arial"/>
      <family val="2"/>
    </font>
    <font>
      <b/>
      <sz val="14"/>
      <color indexed="13"/>
      <name val="Agency FB"/>
      <family val="2"/>
    </font>
    <font>
      <sz val="12"/>
      <color indexed="13"/>
      <name val="Arial"/>
      <family val="2"/>
    </font>
    <font>
      <sz val="11"/>
      <color indexed="13"/>
      <name val="Arial"/>
      <family val="2"/>
    </font>
    <font>
      <b/>
      <sz val="14"/>
      <color indexed="43"/>
      <name val="Arial"/>
      <family val="2"/>
    </font>
    <font>
      <sz val="9"/>
      <color indexed="43"/>
      <name val="Arial"/>
      <family val="2"/>
    </font>
    <font>
      <b/>
      <sz val="14"/>
      <color indexed="51"/>
      <name val="Arial"/>
      <family val="2"/>
    </font>
    <font>
      <sz val="9"/>
      <color indexed="13"/>
      <name val="Arial"/>
      <family val="2"/>
    </font>
    <font>
      <b/>
      <sz val="14"/>
      <color indexed="47"/>
      <name val="Arial"/>
      <family val="2"/>
    </font>
    <font>
      <sz val="9"/>
      <color indexed="47"/>
      <name val="Arial"/>
      <family val="2"/>
    </font>
    <font>
      <sz val="8"/>
      <color indexed="47"/>
      <name val="Arial"/>
      <family val="2"/>
    </font>
    <font>
      <sz val="10"/>
      <color indexed="47"/>
      <name val="Arial"/>
      <family val="2"/>
    </font>
    <font>
      <sz val="9"/>
      <color indexed="27"/>
      <name val="Arial"/>
      <family val="2"/>
    </font>
    <font>
      <sz val="10"/>
      <color indexed="13"/>
      <name val="Arial"/>
      <family val="2"/>
    </font>
    <font>
      <sz val="8"/>
      <color indexed="81"/>
      <name val="Arial Black"/>
      <family val="2"/>
    </font>
    <font>
      <sz val="14"/>
      <color indexed="81"/>
      <name val="Arial Black"/>
      <family val="2"/>
    </font>
    <font>
      <b/>
      <sz val="14"/>
      <color indexed="81"/>
      <name val="Arial Black"/>
      <family val="2"/>
    </font>
    <font>
      <b/>
      <sz val="14"/>
      <color indexed="81"/>
      <name val="Tahoma"/>
      <family val="2"/>
    </font>
    <font>
      <b/>
      <sz val="11"/>
      <color theme="1"/>
      <name val="Calibri"/>
      <family val="2"/>
      <scheme val="minor"/>
    </font>
    <font>
      <b/>
      <sz val="10"/>
      <color rgb="FFFF0000"/>
      <name val="Univers (W1)"/>
    </font>
    <font>
      <sz val="18"/>
      <name val="Arial Black"/>
      <family val="2"/>
    </font>
    <font>
      <i/>
      <sz val="10"/>
      <color rgb="FF002060"/>
      <name val="Verdana"/>
      <family val="2"/>
    </font>
    <font>
      <i/>
      <sz val="9"/>
      <color rgb="FF002060"/>
      <name val="Verdana"/>
      <family val="2"/>
    </font>
    <font>
      <i/>
      <sz val="8"/>
      <name val="Verdana"/>
      <family val="2"/>
    </font>
    <font>
      <i/>
      <sz val="8"/>
      <color theme="1"/>
      <name val="Verdana"/>
      <family val="2"/>
    </font>
    <font>
      <b/>
      <i/>
      <sz val="9"/>
      <color rgb="FF002060"/>
      <name val="Verdana"/>
      <family val="2"/>
    </font>
    <font>
      <i/>
      <sz val="8"/>
      <color theme="0"/>
      <name val="Verdana"/>
      <family val="2"/>
    </font>
    <font>
      <i/>
      <sz val="10"/>
      <name val="Verdana"/>
      <family val="2"/>
    </font>
    <font>
      <b/>
      <i/>
      <sz val="9"/>
      <color theme="1"/>
      <name val="Verdana"/>
      <family val="2"/>
    </font>
    <font>
      <b/>
      <i/>
      <sz val="9"/>
      <color rgb="FFFF0000"/>
      <name val="Verdana"/>
      <family val="2"/>
    </font>
    <font>
      <b/>
      <i/>
      <sz val="10"/>
      <color theme="1"/>
      <name val="Verdana"/>
      <family val="2"/>
    </font>
    <font>
      <sz val="8"/>
      <name val="Calibri"/>
      <family val="2"/>
      <scheme val="minor"/>
    </font>
    <font>
      <b/>
      <i/>
      <sz val="11"/>
      <name val="Verdana"/>
      <family val="2"/>
    </font>
    <font>
      <i/>
      <sz val="11"/>
      <color rgb="FF0070C0"/>
      <name val="Calibri"/>
      <family val="2"/>
      <scheme val="minor"/>
    </font>
    <font>
      <b/>
      <sz val="11"/>
      <color indexed="8"/>
      <name val="Arial"/>
      <family val="2"/>
    </font>
    <font>
      <i/>
      <sz val="9"/>
      <color theme="6" tint="-0.499984740745262"/>
      <name val="Verdana"/>
      <family val="2"/>
    </font>
    <font>
      <b/>
      <sz val="8"/>
      <color theme="0"/>
      <name val="Verdana"/>
      <family val="2"/>
    </font>
    <font>
      <b/>
      <sz val="11"/>
      <color theme="0"/>
      <name val="Arial"/>
      <family val="2"/>
    </font>
    <font>
      <b/>
      <vertAlign val="subscript"/>
      <sz val="11"/>
      <color indexed="9"/>
      <name val="Arial"/>
      <family val="2"/>
    </font>
    <font>
      <b/>
      <sz val="11"/>
      <color indexed="9"/>
      <name val="Arial"/>
      <family val="2"/>
    </font>
    <font>
      <b/>
      <sz val="10"/>
      <color rgb="FF002060"/>
      <name val="Verdana"/>
      <family val="2"/>
    </font>
    <font>
      <sz val="10"/>
      <color theme="1"/>
      <name val="Verdana"/>
      <family val="2"/>
    </font>
    <font>
      <sz val="10"/>
      <color theme="0"/>
      <name val="Verdana"/>
      <family val="2"/>
    </font>
    <font>
      <b/>
      <i/>
      <sz val="10"/>
      <color rgb="FF002060"/>
      <name val="Verdana"/>
      <family val="2"/>
    </font>
    <font>
      <i/>
      <sz val="10"/>
      <color theme="1"/>
      <name val="Verdana"/>
      <family val="2"/>
    </font>
    <font>
      <b/>
      <sz val="10"/>
      <color rgb="FFFFFFCC"/>
      <name val="Verdana"/>
      <family val="2"/>
    </font>
    <font>
      <b/>
      <sz val="6"/>
      <color rgb="FF002060"/>
      <name val="Arial"/>
      <family val="2"/>
    </font>
    <font>
      <sz val="8"/>
      <color rgb="FF002060"/>
      <name val="Arial"/>
      <family val="2"/>
    </font>
    <font>
      <b/>
      <sz val="9"/>
      <color theme="0"/>
      <name val="Arial"/>
      <family val="2"/>
    </font>
    <font>
      <sz val="9"/>
      <color theme="1"/>
      <name val="Arial"/>
      <family val="2"/>
    </font>
    <font>
      <sz val="12"/>
      <color rgb="FFFF0000"/>
      <name val="Verdana"/>
      <family val="2"/>
    </font>
    <font>
      <b/>
      <sz val="6"/>
      <color theme="1"/>
      <name val="Verdana"/>
      <family val="2"/>
    </font>
    <font>
      <sz val="18"/>
      <name val="Times New Roman"/>
      <family val="1"/>
    </font>
    <font>
      <sz val="18"/>
      <color rgb="FFFF0000"/>
      <name val="Times New Roman"/>
      <family val="1"/>
    </font>
    <font>
      <i/>
      <sz val="10"/>
      <color theme="3" tint="-0.249977111117893"/>
      <name val="Verdana"/>
      <family val="2"/>
    </font>
    <font>
      <i/>
      <sz val="9"/>
      <color theme="3" tint="-0.249977111117893"/>
      <name val="Verdana"/>
      <family val="2"/>
    </font>
    <font>
      <b/>
      <sz val="10"/>
      <color theme="0"/>
      <name val="Verdana"/>
      <family val="2"/>
    </font>
    <font>
      <sz val="11"/>
      <color theme="1"/>
      <name val="Arial"/>
      <family val="2"/>
    </font>
  </fonts>
  <fills count="43">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4" tint="0.79998168889431442"/>
        <bgColor indexed="64"/>
      </patternFill>
    </fill>
    <fill>
      <patternFill patternType="solid">
        <fgColor rgb="FFFFFFCC"/>
        <bgColor indexed="64"/>
      </patternFill>
    </fill>
    <fill>
      <patternFill patternType="solid">
        <fgColor theme="0"/>
        <bgColor indexed="64"/>
      </patternFill>
    </fill>
    <fill>
      <patternFill patternType="solid">
        <fgColor indexed="52"/>
        <bgColor indexed="64"/>
      </patternFill>
    </fill>
    <fill>
      <patternFill patternType="solid">
        <fgColor indexed="43"/>
        <bgColor indexed="64"/>
      </patternFill>
    </fill>
    <fill>
      <patternFill patternType="solid">
        <fgColor indexed="12"/>
        <bgColor indexed="64"/>
      </patternFill>
    </fill>
    <fill>
      <patternFill patternType="solid">
        <fgColor indexed="14"/>
        <bgColor indexed="64"/>
      </patternFill>
    </fill>
    <fill>
      <patternFill patternType="solid">
        <fgColor indexed="48"/>
        <bgColor indexed="64"/>
      </patternFill>
    </fill>
    <fill>
      <patternFill patternType="lightGray">
        <fgColor indexed="13"/>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indexed="60"/>
        <bgColor indexed="64"/>
      </patternFill>
    </fill>
    <fill>
      <patternFill patternType="lightTrellis">
        <fgColor indexed="26"/>
        <bgColor indexed="47"/>
      </patternFill>
    </fill>
    <fill>
      <patternFill patternType="solid">
        <fgColor indexed="42"/>
        <bgColor indexed="64"/>
      </patternFill>
    </fill>
    <fill>
      <patternFill patternType="solid">
        <fgColor indexed="45"/>
        <bgColor indexed="64"/>
      </patternFill>
    </fill>
    <fill>
      <patternFill patternType="solid">
        <fgColor indexed="16"/>
        <bgColor indexed="64"/>
      </patternFill>
    </fill>
    <fill>
      <patternFill patternType="solid">
        <fgColor indexed="44"/>
        <bgColor indexed="64"/>
      </patternFill>
    </fill>
    <fill>
      <patternFill patternType="solid">
        <fgColor indexed="40"/>
        <bgColor indexed="64"/>
      </patternFill>
    </fill>
    <fill>
      <patternFill patternType="solid">
        <fgColor indexed="56"/>
        <bgColor indexed="64"/>
      </patternFill>
    </fill>
    <fill>
      <patternFill patternType="solid">
        <fgColor theme="1"/>
        <bgColor indexed="64"/>
      </patternFill>
    </fill>
    <fill>
      <patternFill patternType="lightGray">
        <fgColor theme="0"/>
        <bgColor theme="0" tint="-0.34998626667073579"/>
      </patternFill>
    </fill>
    <fill>
      <patternFill patternType="solid">
        <fgColor indexed="51"/>
        <bgColor indexed="64"/>
      </patternFill>
    </fill>
    <fill>
      <patternFill patternType="solid">
        <fgColor indexed="11"/>
        <bgColor indexed="64"/>
      </patternFill>
    </fill>
    <fill>
      <patternFill patternType="solid">
        <fgColor indexed="53"/>
        <bgColor indexed="64"/>
      </patternFill>
    </fill>
    <fill>
      <patternFill patternType="solid">
        <fgColor indexed="10"/>
        <bgColor indexed="64"/>
      </patternFill>
    </fill>
    <fill>
      <patternFill patternType="solid">
        <fgColor indexed="18"/>
        <bgColor indexed="64"/>
      </patternFill>
    </fill>
    <fill>
      <patternFill patternType="solid">
        <fgColor indexed="62"/>
        <bgColor indexed="64"/>
      </patternFill>
    </fill>
    <fill>
      <patternFill patternType="solid">
        <fgColor indexed="59"/>
        <bgColor indexed="64"/>
      </patternFill>
    </fill>
    <fill>
      <patternFill patternType="solid">
        <fgColor indexed="58"/>
        <bgColor indexed="64"/>
      </patternFill>
    </fill>
    <fill>
      <patternFill patternType="solid">
        <fgColor indexed="63"/>
        <bgColor indexed="64"/>
      </patternFill>
    </fill>
    <fill>
      <patternFill patternType="solid">
        <fgColor rgb="FFFFCC99"/>
        <bgColor indexed="64"/>
      </patternFill>
    </fill>
    <fill>
      <patternFill patternType="solid">
        <fgColor rgb="FF3333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1" tint="0.249977111117893"/>
        <bgColor indexed="64"/>
      </patternFill>
    </fill>
    <fill>
      <patternFill patternType="solid">
        <fgColor rgb="FF92CDDC"/>
        <bgColor rgb="FF92CDDC"/>
      </patternFill>
    </fill>
  </fills>
  <borders count="2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hair">
        <color indexed="64"/>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medium">
        <color indexed="64"/>
      </top>
      <bottom/>
      <diagonal/>
    </border>
    <border>
      <left style="thin">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dashed">
        <color indexed="64"/>
      </left>
      <right style="dashed">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dashed">
        <color indexed="64"/>
      </left>
      <right style="dashed">
        <color indexed="64"/>
      </right>
      <top/>
      <bottom style="thin">
        <color indexed="64"/>
      </bottom>
      <diagonal/>
    </border>
    <border>
      <left style="dashed">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style="medium">
        <color indexed="60"/>
      </left>
      <right/>
      <top style="medium">
        <color indexed="60"/>
      </top>
      <bottom/>
      <diagonal/>
    </border>
    <border>
      <left/>
      <right/>
      <top style="medium">
        <color indexed="60"/>
      </top>
      <bottom/>
      <diagonal/>
    </border>
    <border>
      <left/>
      <right style="medium">
        <color indexed="60"/>
      </right>
      <top style="medium">
        <color indexed="60"/>
      </top>
      <bottom/>
      <diagonal/>
    </border>
    <border>
      <left style="medium">
        <color indexed="60"/>
      </left>
      <right/>
      <top/>
      <bottom style="medium">
        <color indexed="60"/>
      </bottom>
      <diagonal/>
    </border>
    <border>
      <left/>
      <right/>
      <top/>
      <bottom style="medium">
        <color indexed="60"/>
      </bottom>
      <diagonal/>
    </border>
    <border>
      <left/>
      <right style="medium">
        <color indexed="60"/>
      </right>
      <top/>
      <bottom style="medium">
        <color indexed="60"/>
      </bottom>
      <diagonal/>
    </border>
    <border>
      <left style="dashed">
        <color indexed="64"/>
      </left>
      <right/>
      <top style="thin">
        <color indexed="64"/>
      </top>
      <bottom/>
      <diagonal/>
    </border>
    <border>
      <left style="medium">
        <color indexed="60"/>
      </left>
      <right/>
      <top/>
      <bottom/>
      <diagonal/>
    </border>
    <border>
      <left/>
      <right style="medium">
        <color indexed="60"/>
      </right>
      <top/>
      <bottom/>
      <diagonal/>
    </border>
    <border>
      <left style="dashed">
        <color indexed="64"/>
      </left>
      <right/>
      <top/>
      <bottom/>
      <diagonal/>
    </border>
    <border>
      <left style="medium">
        <color indexed="60"/>
      </left>
      <right/>
      <top style="medium">
        <color indexed="60"/>
      </top>
      <bottom style="medium">
        <color indexed="60"/>
      </bottom>
      <diagonal/>
    </border>
    <border>
      <left/>
      <right/>
      <top style="medium">
        <color indexed="60"/>
      </top>
      <bottom style="medium">
        <color indexed="60"/>
      </bottom>
      <diagonal/>
    </border>
    <border>
      <left/>
      <right style="medium">
        <color indexed="60"/>
      </right>
      <top style="medium">
        <color indexed="60"/>
      </top>
      <bottom style="medium">
        <color indexed="60"/>
      </bottom>
      <diagonal/>
    </border>
    <border>
      <left style="dashed">
        <color indexed="64"/>
      </left>
      <right/>
      <top style="thin">
        <color indexed="64"/>
      </top>
      <bottom style="thin">
        <color indexed="64"/>
      </bottom>
      <diagonal/>
    </border>
    <border>
      <left style="dashed">
        <color indexed="60"/>
      </left>
      <right style="dashed">
        <color indexed="60"/>
      </right>
      <top/>
      <bottom style="medium">
        <color indexed="60"/>
      </bottom>
      <diagonal/>
    </border>
    <border>
      <left style="medium">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double">
        <color indexed="64"/>
      </left>
      <right/>
      <top style="double">
        <color indexed="64"/>
      </top>
      <bottom/>
      <diagonal/>
    </border>
    <border>
      <left style="medium">
        <color indexed="64"/>
      </left>
      <right/>
      <top style="double">
        <color indexed="64"/>
      </top>
      <bottom/>
      <diagonal/>
    </border>
    <border>
      <left/>
      <right style="medium">
        <color indexed="64"/>
      </right>
      <top style="double">
        <color indexed="64"/>
      </top>
      <bottom/>
      <diagonal/>
    </border>
    <border>
      <left style="medium">
        <color indexed="64"/>
      </left>
      <right style="double">
        <color indexed="64"/>
      </right>
      <top style="double">
        <color indexed="64"/>
      </top>
      <bottom/>
      <diagonal/>
    </border>
    <border>
      <left style="medium">
        <color indexed="64"/>
      </left>
      <right style="thin">
        <color indexed="64"/>
      </right>
      <top style="thin">
        <color indexed="64"/>
      </top>
      <bottom style="medium">
        <color indexed="64"/>
      </bottom>
      <diagonal/>
    </border>
    <border>
      <left style="double">
        <color indexed="64"/>
      </left>
      <right/>
      <top/>
      <bottom/>
      <diagonal/>
    </border>
    <border>
      <left style="medium">
        <color indexed="64"/>
      </left>
      <right style="double">
        <color indexed="64"/>
      </right>
      <top/>
      <bottom style="thin">
        <color indexed="64"/>
      </bottom>
      <diagonal/>
    </border>
    <border>
      <left style="double">
        <color indexed="64"/>
      </left>
      <right style="medium">
        <color indexed="64"/>
      </right>
      <top style="thin">
        <color indexed="64"/>
      </top>
      <bottom/>
      <diagonal/>
    </border>
    <border>
      <left style="medium">
        <color indexed="64"/>
      </left>
      <right style="double">
        <color indexed="64"/>
      </right>
      <top style="thin">
        <color indexed="64"/>
      </top>
      <bottom/>
      <diagonal/>
    </border>
    <border>
      <left style="double">
        <color indexed="64"/>
      </left>
      <right style="medium">
        <color indexed="64"/>
      </right>
      <top/>
      <bottom/>
      <diagonal/>
    </border>
    <border>
      <left style="medium">
        <color indexed="64"/>
      </left>
      <right/>
      <top style="hair">
        <color indexed="64"/>
      </top>
      <bottom/>
      <diagonal/>
    </border>
    <border>
      <left style="hair">
        <color indexed="64"/>
      </left>
      <right style="thin">
        <color indexed="64"/>
      </right>
      <top style="hair">
        <color indexed="64"/>
      </top>
      <bottom/>
      <diagonal/>
    </border>
    <border>
      <left style="medium">
        <color indexed="64"/>
      </left>
      <right style="double">
        <color indexed="64"/>
      </right>
      <top/>
      <bottom/>
      <diagonal/>
    </border>
    <border>
      <left style="double">
        <color indexed="64"/>
      </left>
      <right style="medium">
        <color indexed="64"/>
      </right>
      <top/>
      <bottom style="medium">
        <color indexed="64"/>
      </bottom>
      <diagonal/>
    </border>
    <border>
      <left style="hair">
        <color indexed="64"/>
      </left>
      <right style="thin">
        <color indexed="64"/>
      </right>
      <top/>
      <bottom style="medium">
        <color indexed="64"/>
      </bottom>
      <diagonal/>
    </border>
    <border>
      <left style="hair">
        <color indexed="64"/>
      </left>
      <right style="hair">
        <color indexed="64"/>
      </right>
      <top/>
      <bottom style="medium">
        <color indexed="64"/>
      </bottom>
      <diagonal/>
    </border>
    <border>
      <left style="medium">
        <color indexed="64"/>
      </left>
      <right style="double">
        <color indexed="64"/>
      </right>
      <top/>
      <bottom style="medium">
        <color indexed="64"/>
      </bottom>
      <diagonal/>
    </border>
    <border>
      <left style="hair">
        <color indexed="64"/>
      </left>
      <right style="thin">
        <color indexed="64"/>
      </right>
      <top/>
      <bottom/>
      <diagonal/>
    </border>
    <border>
      <left style="hair">
        <color indexed="64"/>
      </left>
      <right/>
      <top/>
      <bottom/>
      <diagonal/>
    </border>
    <border>
      <left style="medium">
        <color indexed="64"/>
      </left>
      <right style="hair">
        <color indexed="64"/>
      </right>
      <top/>
      <bottom/>
      <diagonal/>
    </border>
    <border>
      <left style="double">
        <color indexed="64"/>
      </left>
      <right/>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top/>
      <bottom style="double">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style="double">
        <color indexed="64"/>
      </right>
      <top/>
      <bottom style="double">
        <color indexed="64"/>
      </bottom>
      <diagonal/>
    </border>
    <border>
      <left style="thin">
        <color indexed="64"/>
      </left>
      <right style="hair">
        <color indexed="64"/>
      </right>
      <top style="double">
        <color indexed="64"/>
      </top>
      <bottom style="hair">
        <color indexed="64"/>
      </bottom>
      <diagonal/>
    </border>
    <border>
      <left/>
      <right style="thin">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style="medium">
        <color indexed="64"/>
      </left>
      <right/>
      <top style="medium">
        <color indexed="64"/>
      </top>
      <bottom style="thin">
        <color indexed="64"/>
      </bottom>
      <diagonal/>
    </border>
    <border>
      <left/>
      <right/>
      <top style="hair">
        <color indexed="64"/>
      </top>
      <bottom style="double">
        <color indexed="64"/>
      </bottom>
      <diagonal/>
    </border>
    <border>
      <left style="medium">
        <color rgb="FFFF0000"/>
      </left>
      <right/>
      <top style="medium">
        <color rgb="FFFF0000"/>
      </top>
      <bottom style="hair">
        <color indexed="64"/>
      </bottom>
      <diagonal/>
    </border>
    <border>
      <left/>
      <right style="medium">
        <color rgb="FFFF0000"/>
      </right>
      <top style="medium">
        <color rgb="FFFF0000"/>
      </top>
      <bottom style="hair">
        <color indexed="64"/>
      </bottom>
      <diagonal/>
    </border>
    <border>
      <left style="medium">
        <color rgb="FFFF0000"/>
      </left>
      <right/>
      <top style="hair">
        <color indexed="64"/>
      </top>
      <bottom style="hair">
        <color indexed="64"/>
      </bottom>
      <diagonal/>
    </border>
    <border>
      <left/>
      <right style="medium">
        <color rgb="FFFF0000"/>
      </right>
      <top style="hair">
        <color indexed="64"/>
      </top>
      <bottom style="hair">
        <color indexed="64"/>
      </bottom>
      <diagonal/>
    </border>
    <border>
      <left style="medium">
        <color rgb="FFFF0000"/>
      </left>
      <right/>
      <top/>
      <bottom style="medium">
        <color rgb="FFFF0000"/>
      </bottom>
      <diagonal/>
    </border>
    <border>
      <left/>
      <right style="medium">
        <color rgb="FFFF0000"/>
      </right>
      <top/>
      <bottom style="medium">
        <color rgb="FFFF0000"/>
      </bottom>
      <diagonal/>
    </border>
    <border>
      <left style="hair">
        <color indexed="64"/>
      </left>
      <right/>
      <top style="double">
        <color indexed="64"/>
      </top>
      <bottom style="hair">
        <color indexed="64"/>
      </bottom>
      <diagonal/>
    </border>
    <border>
      <left/>
      <right style="hair">
        <color indexed="64"/>
      </right>
      <top style="double">
        <color indexed="64"/>
      </top>
      <bottom style="hair">
        <color indexed="64"/>
      </bottom>
      <diagonal/>
    </border>
    <border>
      <left style="medium">
        <color indexed="9"/>
      </left>
      <right style="medium">
        <color indexed="9"/>
      </right>
      <top style="medium">
        <color indexed="9"/>
      </top>
      <bottom style="medium">
        <color indexed="9"/>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9"/>
      </left>
      <right style="thin">
        <color indexed="64"/>
      </right>
      <top/>
      <bottom/>
      <diagonal/>
    </border>
    <border>
      <left/>
      <right style="thin">
        <color indexed="9"/>
      </right>
      <top/>
      <bottom style="thin">
        <color indexed="64"/>
      </bottom>
      <diagonal/>
    </border>
    <border>
      <left/>
      <right style="thin">
        <color indexed="9"/>
      </right>
      <top style="thin">
        <color indexed="64"/>
      </top>
      <bottom style="thin">
        <color indexed="64"/>
      </bottom>
      <diagonal/>
    </border>
    <border>
      <left style="thin">
        <color indexed="64"/>
      </left>
      <right style="thin">
        <color indexed="9"/>
      </right>
      <top style="thin">
        <color indexed="64"/>
      </top>
      <bottom/>
      <diagonal/>
    </border>
    <border>
      <left style="thin">
        <color indexed="64"/>
      </left>
      <right style="thin">
        <color indexed="9"/>
      </right>
      <top/>
      <bottom style="thin">
        <color indexed="64"/>
      </bottom>
      <diagonal/>
    </border>
    <border>
      <left style="thin">
        <color indexed="9"/>
      </left>
      <right style="thin">
        <color indexed="64"/>
      </right>
      <top/>
      <bottom style="thin">
        <color indexed="64"/>
      </bottom>
      <diagonal/>
    </border>
    <border>
      <left style="thin">
        <color indexed="9"/>
      </left>
      <right style="thin">
        <color indexed="64"/>
      </right>
      <top style="thin">
        <color indexed="64"/>
      </top>
      <bottom/>
      <diagonal/>
    </border>
    <border>
      <left/>
      <right style="thin">
        <color indexed="9"/>
      </right>
      <top style="thin">
        <color indexed="64"/>
      </top>
      <bottom/>
      <diagonal/>
    </border>
    <border>
      <left style="thin">
        <color indexed="64"/>
      </left>
      <right/>
      <top/>
      <bottom style="thin">
        <color indexed="9"/>
      </bottom>
      <diagonal/>
    </border>
    <border>
      <left/>
      <right style="thin">
        <color indexed="9"/>
      </right>
      <top/>
      <bottom style="thin">
        <color indexed="9"/>
      </bottom>
      <diagonal/>
    </border>
    <border>
      <left style="thin">
        <color indexed="64"/>
      </left>
      <right style="thin">
        <color indexed="9"/>
      </right>
      <top style="thin">
        <color indexed="64"/>
      </top>
      <bottom style="thin">
        <color indexed="64"/>
      </bottom>
      <diagonal/>
    </border>
    <border>
      <left style="thin">
        <color indexed="9"/>
      </left>
      <right style="thin">
        <color indexed="64"/>
      </right>
      <top/>
      <bottom style="thin">
        <color indexed="9"/>
      </bottom>
      <diagonal/>
    </border>
    <border>
      <left/>
      <right style="thin">
        <color indexed="64"/>
      </right>
      <top/>
      <bottom style="thin">
        <color indexed="9"/>
      </bottom>
      <diagonal/>
    </border>
    <border>
      <left style="thin">
        <color indexed="64"/>
      </left>
      <right style="thin">
        <color indexed="64"/>
      </right>
      <top/>
      <bottom style="thin">
        <color indexed="9"/>
      </bottom>
      <diagonal/>
    </border>
    <border>
      <left style="thin">
        <color indexed="64"/>
      </left>
      <right style="thin">
        <color indexed="9"/>
      </right>
      <top/>
      <bottom style="thin">
        <color indexed="9"/>
      </bottom>
      <diagonal/>
    </border>
    <border>
      <left style="dashed">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9"/>
      </bottom>
      <diagonal/>
    </border>
    <border>
      <left/>
      <right/>
      <top style="thin">
        <color indexed="64"/>
      </top>
      <bottom style="thin">
        <color indexed="9"/>
      </bottom>
      <diagonal/>
    </border>
    <border>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medium">
        <color indexed="64"/>
      </top>
      <bottom style="thin">
        <color indexed="64"/>
      </bottom>
      <diagonal/>
    </border>
    <border>
      <left style="thin">
        <color indexed="64"/>
      </left>
      <right/>
      <top style="hair">
        <color indexed="64"/>
      </top>
      <bottom style="double">
        <color indexed="64"/>
      </bottom>
      <diagonal/>
    </border>
    <border>
      <left/>
      <right style="thin">
        <color indexed="64"/>
      </right>
      <top style="hair">
        <color indexed="64"/>
      </top>
      <bottom style="double">
        <color indexed="64"/>
      </bottom>
      <diagonal/>
    </border>
    <border>
      <left/>
      <right style="hair">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bottom/>
      <diagonal/>
    </border>
    <border>
      <left style="thin">
        <color theme="0"/>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right style="thin">
        <color theme="0"/>
      </right>
      <top/>
      <bottom style="thin">
        <color indexed="64"/>
      </bottom>
      <diagonal/>
    </border>
    <border>
      <left style="thin">
        <color theme="0"/>
      </left>
      <right style="thin">
        <color theme="0"/>
      </right>
      <top/>
      <bottom style="thin">
        <color indexed="64"/>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top style="medium">
        <color theme="0"/>
      </top>
      <bottom style="thin">
        <color theme="0"/>
      </bottom>
      <diagonal/>
    </border>
    <border>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rgb="FFC00000"/>
      </left>
      <right style="thin">
        <color theme="0"/>
      </right>
      <top style="thin">
        <color theme="0"/>
      </top>
      <bottom/>
      <diagonal/>
    </border>
    <border>
      <left style="thin">
        <color theme="0"/>
      </left>
      <right style="medium">
        <color rgb="FFC00000"/>
      </right>
      <top style="thin">
        <color theme="0"/>
      </top>
      <bottom/>
      <diagonal/>
    </border>
    <border>
      <left style="medium">
        <color rgb="FFC00000"/>
      </left>
      <right style="thin">
        <color indexed="64"/>
      </right>
      <top style="medium">
        <color rgb="FFC00000"/>
      </top>
      <bottom style="medium">
        <color rgb="FFC00000"/>
      </bottom>
      <diagonal/>
    </border>
    <border>
      <left style="thin">
        <color indexed="64"/>
      </left>
      <right style="thin">
        <color indexed="64"/>
      </right>
      <top style="medium">
        <color rgb="FFC00000"/>
      </top>
      <bottom style="medium">
        <color rgb="FFC00000"/>
      </bottom>
      <diagonal/>
    </border>
    <border>
      <left style="thin">
        <color indexed="64"/>
      </left>
      <right style="medium">
        <color rgb="FFC00000"/>
      </right>
      <top style="medium">
        <color rgb="FFC00000"/>
      </top>
      <bottom style="medium">
        <color rgb="FFC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000000"/>
      </left>
      <right style="medium">
        <color rgb="FF000000"/>
      </right>
      <top style="medium">
        <color rgb="FF000000"/>
      </top>
      <bottom style="medium">
        <color rgb="FF000000"/>
      </bottom>
      <diagonal/>
    </border>
    <border>
      <left style="thin">
        <color indexed="64"/>
      </left>
      <right style="hair">
        <color indexed="64"/>
      </right>
      <top style="hair">
        <color indexed="64"/>
      </top>
      <bottom/>
      <diagonal/>
    </border>
    <border>
      <left style="thin">
        <color indexed="64"/>
      </left>
      <right style="hair">
        <color indexed="64"/>
      </right>
      <top/>
      <bottom/>
      <diagonal/>
    </border>
  </borders>
  <cellStyleXfs count="28">
    <xf numFmtId="0" fontId="0" fillId="0" borderId="0"/>
    <xf numFmtId="0" fontId="1" fillId="0" borderId="0"/>
    <xf numFmtId="0" fontId="4" fillId="0" borderId="0"/>
    <xf numFmtId="0" fontId="8" fillId="0" borderId="0"/>
    <xf numFmtId="0" fontId="4" fillId="0" borderId="0"/>
    <xf numFmtId="0" fontId="4" fillId="0" borderId="0"/>
    <xf numFmtId="0" fontId="14" fillId="0" borderId="0" applyNumberFormat="0" applyFill="0" applyBorder="0" applyAlignment="0" applyProtection="0"/>
    <xf numFmtId="0" fontId="4" fillId="0" borderId="0"/>
    <xf numFmtId="164" fontId="1" fillId="0" borderId="0" applyFont="0" applyFill="0" applyBorder="0" applyAlignment="0" applyProtection="0"/>
    <xf numFmtId="170" fontId="4" fillId="0" borderId="0" applyFont="0" applyFill="0" applyBorder="0" applyAlignment="0" applyProtection="0"/>
    <xf numFmtId="164"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0" fontId="25" fillId="0" borderId="0"/>
    <xf numFmtId="0" fontId="4" fillId="0" borderId="0"/>
    <xf numFmtId="0" fontId="4" fillId="0" borderId="0"/>
    <xf numFmtId="0" fontId="4" fillId="0" borderId="0"/>
  </cellStyleXfs>
  <cellXfs count="1574">
    <xf numFmtId="0" fontId="0" fillId="0" borderId="0" xfId="0"/>
    <xf numFmtId="2" fontId="0" fillId="0" borderId="0" xfId="0" applyNumberFormat="1"/>
    <xf numFmtId="0" fontId="4" fillId="2" borderId="0" xfId="2" applyFill="1"/>
    <xf numFmtId="0" fontId="5" fillId="0" borderId="0" xfId="1" applyFont="1" applyAlignment="1">
      <alignment vertical="center"/>
    </xf>
    <xf numFmtId="0" fontId="11" fillId="0" borderId="0" xfId="1" applyFont="1" applyAlignment="1">
      <alignment horizontal="center"/>
    </xf>
    <xf numFmtId="2" fontId="17" fillId="0" borderId="0" xfId="1" applyNumberFormat="1" applyFont="1" applyAlignment="1">
      <alignment horizontal="center"/>
    </xf>
    <xf numFmtId="0" fontId="17" fillId="0" borderId="0" xfId="1" applyFont="1" applyAlignment="1">
      <alignment horizontal="center"/>
    </xf>
    <xf numFmtId="0" fontId="17" fillId="0" borderId="0" xfId="1" applyFont="1"/>
    <xf numFmtId="0" fontId="11" fillId="0" borderId="0" xfId="1" applyFont="1"/>
    <xf numFmtId="2" fontId="17" fillId="0" borderId="0" xfId="1" applyNumberFormat="1" applyFont="1"/>
    <xf numFmtId="0" fontId="9" fillId="0" borderId="8" xfId="0" applyFont="1" applyBorder="1"/>
    <xf numFmtId="0" fontId="9" fillId="0" borderId="10" xfId="0" applyFont="1" applyBorder="1"/>
    <xf numFmtId="0" fontId="9" fillId="0" borderId="9" xfId="0" applyFont="1" applyBorder="1"/>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21" fillId="0" borderId="0" xfId="0" applyFont="1" applyAlignment="1" applyProtection="1">
      <alignment vertical="center"/>
      <protection hidden="1"/>
    </xf>
    <xf numFmtId="0" fontId="21" fillId="0" borderId="0" xfId="0" applyFont="1" applyAlignment="1" applyProtection="1">
      <alignment horizontal="center" vertical="center"/>
      <protection hidden="1"/>
    </xf>
    <xf numFmtId="2" fontId="1" fillId="0" borderId="1" xfId="1" applyNumberFormat="1" applyBorder="1" applyAlignment="1">
      <alignment horizontal="center"/>
    </xf>
    <xf numFmtId="0" fontId="28" fillId="2" borderId="0" xfId="5" applyFont="1" applyFill="1"/>
    <xf numFmtId="1" fontId="11" fillId="6" borderId="0" xfId="5" applyNumberFormat="1" applyFont="1" applyFill="1" applyAlignment="1">
      <alignment vertical="center"/>
    </xf>
    <xf numFmtId="169" fontId="29" fillId="6" borderId="0" xfId="1" applyNumberFormat="1" applyFont="1" applyFill="1" applyAlignment="1">
      <alignment horizontal="center" vertical="center"/>
    </xf>
    <xf numFmtId="0" fontId="28" fillId="6" borderId="0" xfId="5" applyFont="1" applyFill="1"/>
    <xf numFmtId="0" fontId="4" fillId="2" borderId="0" xfId="5" applyFill="1"/>
    <xf numFmtId="0" fontId="13" fillId="6" borderId="0" xfId="1" applyFont="1" applyFill="1" applyAlignment="1">
      <alignment vertical="center"/>
    </xf>
    <xf numFmtId="0" fontId="1" fillId="6" borderId="0" xfId="1" applyFill="1" applyAlignment="1">
      <alignment vertical="center"/>
    </xf>
    <xf numFmtId="0" fontId="4" fillId="6" borderId="0" xfId="5" applyFill="1"/>
    <xf numFmtId="0" fontId="4" fillId="0" borderId="0" xfId="4"/>
    <xf numFmtId="0" fontId="17" fillId="0" borderId="0" xfId="4" applyFont="1" applyAlignment="1">
      <alignment vertical="center"/>
    </xf>
    <xf numFmtId="0" fontId="30" fillId="0" borderId="0" xfId="4" applyFont="1" applyAlignment="1">
      <alignment horizontal="center"/>
    </xf>
    <xf numFmtId="2" fontId="17" fillId="0" borderId="0" xfId="4" applyNumberFormat="1" applyFont="1" applyAlignment="1" applyProtection="1">
      <alignment vertical="center"/>
      <protection locked="0"/>
    </xf>
    <xf numFmtId="2" fontId="17" fillId="0" borderId="0" xfId="4" applyNumberFormat="1" applyFont="1" applyProtection="1">
      <protection locked="0"/>
    </xf>
    <xf numFmtId="2" fontId="11" fillId="0" borderId="0" xfId="4" applyNumberFormat="1" applyFont="1" applyProtection="1">
      <protection hidden="1"/>
    </xf>
    <xf numFmtId="2" fontId="4" fillId="0" borderId="0" xfId="4" applyNumberFormat="1"/>
    <xf numFmtId="0" fontId="11" fillId="0" borderId="0" xfId="4" applyFont="1" applyAlignment="1" applyProtection="1">
      <alignment vertical="center"/>
      <protection locked="0"/>
    </xf>
    <xf numFmtId="2" fontId="31" fillId="2" borderId="58" xfId="1" applyNumberFormat="1" applyFont="1" applyFill="1" applyBorder="1" applyAlignment="1" applyProtection="1">
      <alignment horizontal="center" vertical="center"/>
      <protection locked="0"/>
    </xf>
    <xf numFmtId="0" fontId="30" fillId="0" borderId="0" xfId="4" applyFont="1"/>
    <xf numFmtId="0" fontId="4" fillId="0" borderId="1" xfId="4" applyBorder="1" applyAlignment="1">
      <alignment horizontal="center"/>
    </xf>
    <xf numFmtId="0" fontId="4" fillId="0" borderId="1" xfId="4" applyBorder="1"/>
    <xf numFmtId="2" fontId="4" fillId="0" borderId="1" xfId="4" applyNumberFormat="1" applyBorder="1" applyAlignment="1">
      <alignment horizontal="center"/>
    </xf>
    <xf numFmtId="2" fontId="4" fillId="0" borderId="11" xfId="4" applyNumberFormat="1" applyBorder="1" applyAlignment="1">
      <alignment horizontal="center"/>
    </xf>
    <xf numFmtId="2" fontId="4" fillId="0" borderId="0" xfId="4" applyNumberFormat="1" applyAlignment="1">
      <alignment horizontal="center"/>
    </xf>
    <xf numFmtId="0" fontId="4" fillId="0" borderId="0" xfId="4" applyAlignment="1">
      <alignment horizontal="center"/>
    </xf>
    <xf numFmtId="0" fontId="4" fillId="0" borderId="0" xfId="7" applyProtection="1">
      <protection hidden="1"/>
    </xf>
    <xf numFmtId="0" fontId="4" fillId="0" borderId="0" xfId="7"/>
    <xf numFmtId="0" fontId="4" fillId="0" borderId="0" xfId="7" applyAlignment="1" applyProtection="1">
      <alignment vertical="center"/>
      <protection hidden="1"/>
    </xf>
    <xf numFmtId="0" fontId="4" fillId="0" borderId="0" xfId="7" applyAlignment="1" applyProtection="1">
      <alignment horizontal="center"/>
      <protection hidden="1"/>
    </xf>
    <xf numFmtId="0" fontId="4" fillId="0" borderId="5" xfId="7" applyBorder="1" applyProtection="1">
      <protection hidden="1"/>
    </xf>
    <xf numFmtId="0" fontId="43" fillId="0" borderId="0" xfId="7" applyFont="1" applyAlignment="1" applyProtection="1">
      <alignment vertical="center"/>
      <protection hidden="1"/>
    </xf>
    <xf numFmtId="0" fontId="4" fillId="0" borderId="0" xfId="7" applyAlignment="1">
      <alignment horizontal="right"/>
    </xf>
    <xf numFmtId="0" fontId="36" fillId="0" borderId="0" xfId="1" applyFont="1" applyAlignment="1">
      <alignment vertical="center"/>
    </xf>
    <xf numFmtId="0" fontId="20" fillId="0" borderId="0" xfId="0" applyFont="1" applyAlignment="1">
      <alignment horizontal="center" vertical="center"/>
    </xf>
    <xf numFmtId="0" fontId="0" fillId="2" borderId="0" xfId="0" applyFill="1"/>
    <xf numFmtId="0" fontId="4" fillId="2" borderId="0" xfId="0" applyFont="1" applyFill="1"/>
    <xf numFmtId="0" fontId="33" fillId="18" borderId="80" xfId="0" applyFont="1" applyFill="1" applyBorder="1" applyAlignment="1">
      <alignment horizontal="center"/>
    </xf>
    <xf numFmtId="0" fontId="33" fillId="18" borderId="46" xfId="0" applyFont="1" applyFill="1" applyBorder="1" applyAlignment="1">
      <alignment horizontal="center"/>
    </xf>
    <xf numFmtId="0" fontId="44" fillId="18" borderId="46" xfId="0" applyFont="1" applyFill="1" applyBorder="1" applyAlignment="1">
      <alignment horizontal="center"/>
    </xf>
    <xf numFmtId="0" fontId="44" fillId="18" borderId="69" xfId="0" applyFont="1" applyFill="1" applyBorder="1" applyAlignment="1">
      <alignment horizontal="center"/>
    </xf>
    <xf numFmtId="0" fontId="33" fillId="18" borderId="63" xfId="0" applyFont="1" applyFill="1" applyBorder="1" applyAlignment="1">
      <alignment horizontal="center"/>
    </xf>
    <xf numFmtId="0" fontId="33" fillId="18" borderId="0" xfId="0" applyFont="1" applyFill="1" applyAlignment="1">
      <alignment horizontal="center"/>
    </xf>
    <xf numFmtId="0" fontId="44" fillId="18" borderId="0" xfId="0" applyFont="1" applyFill="1" applyAlignment="1">
      <alignment horizontal="center"/>
    </xf>
    <xf numFmtId="0" fontId="44" fillId="18" borderId="64" xfId="0" applyFont="1" applyFill="1" applyBorder="1" applyAlignment="1">
      <alignment horizontal="center"/>
    </xf>
    <xf numFmtId="169" fontId="4" fillId="2" borderId="0" xfId="0" applyNumberFormat="1" applyFont="1" applyFill="1"/>
    <xf numFmtId="0" fontId="4" fillId="2" borderId="2" xfId="0" applyFont="1" applyFill="1" applyBorder="1"/>
    <xf numFmtId="0" fontId="4" fillId="2" borderId="14" xfId="0" applyFont="1" applyFill="1" applyBorder="1"/>
    <xf numFmtId="0" fontId="4" fillId="2" borderId="3" xfId="0" applyFont="1" applyFill="1" applyBorder="1"/>
    <xf numFmtId="0" fontId="4" fillId="2" borderId="13" xfId="0" applyFont="1" applyFill="1" applyBorder="1"/>
    <xf numFmtId="0" fontId="0" fillId="2" borderId="8" xfId="0" applyFill="1" applyBorder="1" applyAlignment="1">
      <alignment horizontal="center"/>
    </xf>
    <xf numFmtId="0" fontId="0" fillId="2" borderId="86" xfId="0" applyFill="1" applyBorder="1" applyAlignment="1">
      <alignment horizontal="center"/>
    </xf>
    <xf numFmtId="0" fontId="0" fillId="2" borderId="9" xfId="0" applyFill="1" applyBorder="1" applyAlignment="1">
      <alignment horizontal="center"/>
    </xf>
    <xf numFmtId="0" fontId="0" fillId="8" borderId="63" xfId="0" applyFill="1" applyBorder="1" applyAlignment="1">
      <alignment horizontal="center"/>
    </xf>
    <xf numFmtId="2" fontId="48" fillId="15" borderId="87" xfId="0" applyNumberFormat="1" applyFont="1" applyFill="1" applyBorder="1" applyProtection="1">
      <protection locked="0"/>
    </xf>
    <xf numFmtId="2" fontId="4" fillId="8" borderId="87" xfId="0" applyNumberFormat="1" applyFont="1" applyFill="1" applyBorder="1" applyAlignment="1">
      <alignment horizontal="center"/>
    </xf>
    <xf numFmtId="2" fontId="0" fillId="8" borderId="87" xfId="0" applyNumberFormat="1" applyFill="1" applyBorder="1" applyAlignment="1">
      <alignment horizontal="center"/>
    </xf>
    <xf numFmtId="2" fontId="0" fillId="8" borderId="64" xfId="0" applyNumberFormat="1" applyFill="1" applyBorder="1" applyAlignment="1">
      <alignment horizontal="center"/>
    </xf>
    <xf numFmtId="0" fontId="4" fillId="2" borderId="0" xfId="0" applyFont="1" applyFill="1" applyAlignment="1">
      <alignment horizontal="left"/>
    </xf>
    <xf numFmtId="0" fontId="4" fillId="2" borderId="6" xfId="0" applyFont="1" applyFill="1" applyBorder="1"/>
    <xf numFmtId="0" fontId="4" fillId="2" borderId="15" xfId="0" applyFont="1" applyFill="1" applyBorder="1"/>
    <xf numFmtId="0" fontId="4" fillId="2" borderId="7" xfId="0" applyFont="1" applyFill="1" applyBorder="1"/>
    <xf numFmtId="2" fontId="0" fillId="2" borderId="2" xfId="0" applyNumberFormat="1" applyFill="1" applyBorder="1" applyAlignment="1">
      <alignment horizontal="center"/>
    </xf>
    <xf numFmtId="2" fontId="0" fillId="2" borderId="88" xfId="0" applyNumberFormat="1" applyFill="1" applyBorder="1" applyAlignment="1">
      <alignment horizontal="center"/>
    </xf>
    <xf numFmtId="2" fontId="0" fillId="2" borderId="3" xfId="0" applyNumberFormat="1" applyFill="1" applyBorder="1" applyAlignment="1">
      <alignment horizontal="center"/>
    </xf>
    <xf numFmtId="0" fontId="46" fillId="2" borderId="14" xfId="0" applyFont="1" applyFill="1" applyBorder="1"/>
    <xf numFmtId="2" fontId="0" fillId="2" borderId="4" xfId="0" applyNumberFormat="1" applyFill="1" applyBorder="1" applyAlignment="1">
      <alignment horizontal="center"/>
    </xf>
    <xf numFmtId="2" fontId="0" fillId="2" borderId="87" xfId="0" applyNumberFormat="1" applyFill="1" applyBorder="1" applyAlignment="1">
      <alignment horizontal="center"/>
    </xf>
    <xf numFmtId="2" fontId="0" fillId="2" borderId="5" xfId="0" applyNumberFormat="1" applyFill="1" applyBorder="1" applyAlignment="1">
      <alignment horizontal="center"/>
    </xf>
    <xf numFmtId="0" fontId="4" fillId="2" borderId="4" xfId="0" applyFont="1" applyFill="1" applyBorder="1"/>
    <xf numFmtId="0" fontId="4" fillId="2" borderId="5" xfId="0" applyFont="1" applyFill="1" applyBorder="1"/>
    <xf numFmtId="167" fontId="0" fillId="8" borderId="63" xfId="0" applyNumberFormat="1" applyFill="1" applyBorder="1" applyAlignment="1">
      <alignment horizontal="center"/>
    </xf>
    <xf numFmtId="2" fontId="0" fillId="2" borderId="6" xfId="0" applyNumberFormat="1" applyFill="1" applyBorder="1" applyAlignment="1">
      <alignment horizontal="center"/>
    </xf>
    <xf numFmtId="2" fontId="0" fillId="2" borderId="89" xfId="0" applyNumberFormat="1" applyFill="1" applyBorder="1" applyAlignment="1">
      <alignment horizontal="center"/>
    </xf>
    <xf numFmtId="2" fontId="0" fillId="2" borderId="7" xfId="0" applyNumberFormat="1" applyFill="1" applyBorder="1" applyAlignment="1">
      <alignment horizontal="center"/>
    </xf>
    <xf numFmtId="167" fontId="0" fillId="8" borderId="68" xfId="0" applyNumberFormat="1" applyFill="1" applyBorder="1" applyAlignment="1">
      <alignment horizontal="center"/>
    </xf>
    <xf numFmtId="2" fontId="48" fillId="15" borderId="90" xfId="0" applyNumberFormat="1" applyFont="1" applyFill="1" applyBorder="1" applyProtection="1">
      <protection locked="0"/>
    </xf>
    <xf numFmtId="2" fontId="4" fillId="8" borderId="90" xfId="0" applyNumberFormat="1" applyFont="1" applyFill="1" applyBorder="1" applyAlignment="1">
      <alignment horizontal="center"/>
    </xf>
    <xf numFmtId="2" fontId="0" fillId="8" borderId="90" xfId="0" applyNumberFormat="1" applyFill="1" applyBorder="1" applyAlignment="1">
      <alignment horizontal="center"/>
    </xf>
    <xf numFmtId="2" fontId="0" fillId="8" borderId="81" xfId="0" applyNumberFormat="1" applyFill="1" applyBorder="1" applyAlignment="1">
      <alignment horizontal="center"/>
    </xf>
    <xf numFmtId="2" fontId="0" fillId="2" borderId="8" xfId="0" applyNumberFormat="1" applyFill="1" applyBorder="1" applyAlignment="1">
      <alignment horizontal="center"/>
    </xf>
    <xf numFmtId="2" fontId="0" fillId="2" borderId="86" xfId="0" applyNumberFormat="1" applyFill="1" applyBorder="1" applyAlignment="1">
      <alignment horizontal="center"/>
    </xf>
    <xf numFmtId="2" fontId="0" fillId="2" borderId="9" xfId="0" applyNumberFormat="1" applyFill="1" applyBorder="1" applyAlignment="1">
      <alignment horizontal="center"/>
    </xf>
    <xf numFmtId="0" fontId="4" fillId="2" borderId="8" xfId="0" applyFont="1" applyFill="1" applyBorder="1"/>
    <xf numFmtId="0" fontId="4" fillId="2" borderId="86" xfId="0" applyFont="1" applyFill="1" applyBorder="1"/>
    <xf numFmtId="0" fontId="4" fillId="2" borderId="9" xfId="0" applyFont="1" applyFill="1" applyBorder="1"/>
    <xf numFmtId="2" fontId="48" fillId="15" borderId="91" xfId="0" applyNumberFormat="1" applyFont="1" applyFill="1" applyBorder="1" applyProtection="1">
      <protection locked="0"/>
    </xf>
    <xf numFmtId="0" fontId="48" fillId="2" borderId="46" xfId="0" applyFont="1" applyFill="1" applyBorder="1"/>
    <xf numFmtId="0" fontId="0" fillId="2" borderId="46" xfId="0" applyFill="1" applyBorder="1"/>
    <xf numFmtId="0" fontId="0" fillId="2" borderId="69" xfId="0" applyFill="1" applyBorder="1"/>
    <xf numFmtId="0" fontId="48" fillId="2" borderId="0" xfId="0" applyFont="1" applyFill="1"/>
    <xf numFmtId="0" fontId="0" fillId="2" borderId="64" xfId="0" applyFill="1" applyBorder="1"/>
    <xf numFmtId="0" fontId="33" fillId="18" borderId="68" xfId="0" applyFont="1" applyFill="1" applyBorder="1" applyAlignment="1">
      <alignment horizontal="center"/>
    </xf>
    <xf numFmtId="0" fontId="48" fillId="2" borderId="79" xfId="0" applyFont="1" applyFill="1" applyBorder="1"/>
    <xf numFmtId="0" fontId="0" fillId="2" borderId="79" xfId="0" applyFill="1" applyBorder="1"/>
    <xf numFmtId="0" fontId="0" fillId="2" borderId="81" xfId="0" applyFill="1" applyBorder="1"/>
    <xf numFmtId="0" fontId="49" fillId="2" borderId="80" xfId="0" applyFont="1" applyFill="1" applyBorder="1"/>
    <xf numFmtId="0" fontId="33" fillId="18" borderId="80" xfId="0" applyFont="1" applyFill="1" applyBorder="1"/>
    <xf numFmtId="0" fontId="33" fillId="18" borderId="46" xfId="0" applyFont="1" applyFill="1" applyBorder="1"/>
    <xf numFmtId="0" fontId="21" fillId="18" borderId="46" xfId="0" applyFont="1" applyFill="1" applyBorder="1"/>
    <xf numFmtId="2" fontId="50" fillId="8" borderId="46" xfId="0" applyNumberFormat="1" applyFont="1" applyFill="1" applyBorder="1"/>
    <xf numFmtId="0" fontId="48" fillId="2" borderId="69" xfId="0" applyFont="1" applyFill="1" applyBorder="1"/>
    <xf numFmtId="0" fontId="4" fillId="2" borderId="63" xfId="0" applyFont="1" applyFill="1" applyBorder="1"/>
    <xf numFmtId="0" fontId="4" fillId="2" borderId="64" xfId="0" applyFont="1" applyFill="1" applyBorder="1"/>
    <xf numFmtId="0" fontId="33" fillId="18" borderId="63" xfId="0" applyFont="1" applyFill="1" applyBorder="1"/>
    <xf numFmtId="0" fontId="33" fillId="18" borderId="0" xfId="0" applyFont="1" applyFill="1"/>
    <xf numFmtId="0" fontId="21" fillId="18" borderId="0" xfId="0" applyFont="1" applyFill="1"/>
    <xf numFmtId="2" fontId="50" fillId="8" borderId="0" xfId="0" applyNumberFormat="1" applyFont="1" applyFill="1"/>
    <xf numFmtId="0" fontId="48" fillId="2" borderId="64" xfId="0" applyFont="1" applyFill="1" applyBorder="1"/>
    <xf numFmtId="0" fontId="4" fillId="2" borderId="79" xfId="0" applyFont="1" applyFill="1" applyBorder="1"/>
    <xf numFmtId="0" fontId="4" fillId="2" borderId="81" xfId="0" applyFont="1" applyFill="1" applyBorder="1"/>
    <xf numFmtId="0" fontId="50" fillId="2" borderId="64" xfId="0" applyFont="1" applyFill="1" applyBorder="1"/>
    <xf numFmtId="0" fontId="21" fillId="2" borderId="0" xfId="0" applyFont="1" applyFill="1"/>
    <xf numFmtId="0" fontId="33" fillId="18" borderId="83" xfId="0" applyFont="1" applyFill="1" applyBorder="1"/>
    <xf numFmtId="0" fontId="21" fillId="18" borderId="85" xfId="0" applyFont="1" applyFill="1" applyBorder="1"/>
    <xf numFmtId="0" fontId="21" fillId="18" borderId="92" xfId="0" applyFont="1" applyFill="1" applyBorder="1"/>
    <xf numFmtId="0" fontId="33" fillId="18" borderId="93" xfId="0" applyFont="1" applyFill="1" applyBorder="1"/>
    <xf numFmtId="0" fontId="33" fillId="18" borderId="94" xfId="0" applyFont="1" applyFill="1" applyBorder="1"/>
    <xf numFmtId="0" fontId="21" fillId="18" borderId="94" xfId="0" applyFont="1" applyFill="1" applyBorder="1"/>
    <xf numFmtId="2" fontId="50" fillId="8" borderId="94" xfId="0" applyNumberFormat="1" applyFont="1" applyFill="1" applyBorder="1"/>
    <xf numFmtId="0" fontId="50" fillId="2" borderId="95" xfId="0" applyFont="1" applyFill="1" applyBorder="1"/>
    <xf numFmtId="0" fontId="51" fillId="2" borderId="0" xfId="0" applyFont="1" applyFill="1" applyAlignment="1">
      <alignment vertical="center" shrinkToFit="1"/>
    </xf>
    <xf numFmtId="0" fontId="34" fillId="2" borderId="0" xfId="0" applyFont="1" applyFill="1" applyAlignment="1">
      <alignment horizontal="center" vertical="center" shrinkToFit="1"/>
    </xf>
    <xf numFmtId="0" fontId="33" fillId="18" borderId="68" xfId="0" applyFont="1" applyFill="1" applyBorder="1"/>
    <xf numFmtId="0" fontId="33" fillId="18" borderId="79" xfId="0" applyFont="1" applyFill="1" applyBorder="1"/>
    <xf numFmtId="0" fontId="21" fillId="18" borderId="79" xfId="0" applyFont="1" applyFill="1" applyBorder="1"/>
    <xf numFmtId="2" fontId="50" fillId="8" borderId="79" xfId="0" applyNumberFormat="1" applyFont="1" applyFill="1" applyBorder="1"/>
    <xf numFmtId="0" fontId="46" fillId="2" borderId="0" xfId="0" applyFont="1" applyFill="1"/>
    <xf numFmtId="0" fontId="4" fillId="2" borderId="0" xfId="0" applyFont="1" applyFill="1" applyAlignment="1">
      <alignment horizontal="right"/>
    </xf>
    <xf numFmtId="0" fontId="4" fillId="2" borderId="10" xfId="0" applyFont="1" applyFill="1" applyBorder="1"/>
    <xf numFmtId="2" fontId="4" fillId="2" borderId="0" xfId="0" applyNumberFormat="1" applyFont="1" applyFill="1"/>
    <xf numFmtId="0" fontId="4" fillId="2" borderId="0" xfId="0" applyFont="1" applyFill="1" applyAlignment="1">
      <alignment horizontal="center"/>
    </xf>
    <xf numFmtId="1" fontId="4" fillId="2" borderId="0" xfId="0" applyNumberFormat="1" applyFont="1" applyFill="1" applyAlignment="1">
      <alignment horizontal="center"/>
    </xf>
    <xf numFmtId="0" fontId="11" fillId="2" borderId="0" xfId="0" applyFont="1" applyFill="1"/>
    <xf numFmtId="2" fontId="0" fillId="2" borderId="0" xfId="0" applyNumberFormat="1" applyFill="1"/>
    <xf numFmtId="0" fontId="0" fillId="2" borderId="0" xfId="0" applyFill="1" applyAlignment="1">
      <alignment horizontal="left"/>
    </xf>
    <xf numFmtId="0" fontId="0" fillId="2" borderId="14" xfId="0" applyFill="1" applyBorder="1"/>
    <xf numFmtId="0" fontId="0" fillId="2" borderId="3" xfId="0" applyFill="1" applyBorder="1"/>
    <xf numFmtId="1" fontId="0" fillId="2" borderId="0" xfId="0" applyNumberFormat="1" applyFill="1" applyAlignment="1">
      <alignment horizontal="left"/>
    </xf>
    <xf numFmtId="0" fontId="0" fillId="2" borderId="15" xfId="0" applyFill="1" applyBorder="1"/>
    <xf numFmtId="0" fontId="0" fillId="2" borderId="7" xfId="0" applyFill="1" applyBorder="1"/>
    <xf numFmtId="0" fontId="0" fillId="2" borderId="0" xfId="0" applyFill="1" applyAlignment="1">
      <alignment horizontal="center"/>
    </xf>
    <xf numFmtId="0" fontId="30" fillId="19" borderId="96" xfId="0" applyFont="1" applyFill="1" applyBorder="1" applyAlignment="1">
      <alignment horizontal="center"/>
    </xf>
    <xf numFmtId="0" fontId="30" fillId="19" borderId="97" xfId="0" applyFont="1" applyFill="1" applyBorder="1" applyAlignment="1">
      <alignment horizontal="center"/>
    </xf>
    <xf numFmtId="0" fontId="30" fillId="19" borderId="98" xfId="0" applyFont="1" applyFill="1" applyBorder="1" applyAlignment="1">
      <alignment horizontal="center"/>
    </xf>
    <xf numFmtId="0" fontId="30" fillId="19" borderId="99" xfId="0" applyFont="1" applyFill="1" applyBorder="1" applyAlignment="1">
      <alignment horizontal="center"/>
    </xf>
    <xf numFmtId="0" fontId="30" fillId="19" borderId="100" xfId="0" applyFont="1" applyFill="1" applyBorder="1" applyAlignment="1">
      <alignment horizontal="center"/>
    </xf>
    <xf numFmtId="0" fontId="30" fillId="19" borderId="101" xfId="0" applyFont="1" applyFill="1" applyBorder="1" applyAlignment="1">
      <alignment horizontal="center"/>
    </xf>
    <xf numFmtId="2" fontId="4" fillId="2" borderId="98" xfId="0" applyNumberFormat="1" applyFont="1" applyFill="1" applyBorder="1" applyAlignment="1">
      <alignment horizontal="center"/>
    </xf>
    <xf numFmtId="0" fontId="30" fillId="19" borderId="96" xfId="0" applyFont="1" applyFill="1" applyBorder="1"/>
    <xf numFmtId="0" fontId="4" fillId="19" borderId="97" xfId="0" applyFont="1" applyFill="1" applyBorder="1"/>
    <xf numFmtId="2" fontId="4" fillId="2" borderId="97" xfId="0" applyNumberFormat="1" applyFont="1" applyFill="1" applyBorder="1"/>
    <xf numFmtId="2" fontId="0" fillId="2" borderId="102" xfId="0" applyNumberFormat="1" applyFill="1" applyBorder="1" applyAlignment="1">
      <alignment horizontal="center"/>
    </xf>
    <xf numFmtId="2" fontId="0" fillId="2" borderId="11" xfId="0" applyNumberFormat="1" applyFill="1" applyBorder="1" applyAlignment="1">
      <alignment horizontal="center"/>
    </xf>
    <xf numFmtId="167" fontId="0" fillId="2" borderId="103" xfId="0" applyNumberFormat="1" applyFill="1" applyBorder="1" applyAlignment="1">
      <alignment horizontal="center"/>
    </xf>
    <xf numFmtId="2" fontId="4" fillId="2" borderId="104" xfId="0" applyNumberFormat="1" applyFont="1" applyFill="1" applyBorder="1" applyAlignment="1">
      <alignment horizontal="center"/>
    </xf>
    <xf numFmtId="0" fontId="30" fillId="19" borderId="103" xfId="0" applyFont="1" applyFill="1" applyBorder="1"/>
    <xf numFmtId="0" fontId="4" fillId="19" borderId="0" xfId="0" applyFont="1" applyFill="1"/>
    <xf numFmtId="0" fontId="4" fillId="2" borderId="104" xfId="0" applyFont="1" applyFill="1" applyBorder="1"/>
    <xf numFmtId="2" fontId="0" fillId="2" borderId="105" xfId="0" applyNumberFormat="1" applyFill="1" applyBorder="1" applyAlignment="1">
      <alignment horizontal="center"/>
    </xf>
    <xf numFmtId="2" fontId="0" fillId="2" borderId="13" xfId="0" applyNumberFormat="1" applyFill="1" applyBorder="1" applyAlignment="1">
      <alignment horizontal="center"/>
    </xf>
    <xf numFmtId="0" fontId="12" fillId="19" borderId="103" xfId="0" applyFont="1" applyFill="1" applyBorder="1"/>
    <xf numFmtId="0" fontId="12" fillId="19" borderId="99" xfId="0" applyFont="1" applyFill="1" applyBorder="1"/>
    <xf numFmtId="0" fontId="4" fillId="19" borderId="100" xfId="0" applyFont="1" applyFill="1" applyBorder="1"/>
    <xf numFmtId="2" fontId="4" fillId="2" borderId="100" xfId="0" applyNumberFormat="1" applyFont="1" applyFill="1" applyBorder="1"/>
    <xf numFmtId="0" fontId="4" fillId="2" borderId="100" xfId="0" applyFont="1" applyFill="1" applyBorder="1"/>
    <xf numFmtId="0" fontId="4" fillId="2" borderId="101" xfId="0" applyFont="1" applyFill="1" applyBorder="1"/>
    <xf numFmtId="167" fontId="0" fillId="2" borderId="99" xfId="0" applyNumberFormat="1" applyFill="1" applyBorder="1" applyAlignment="1">
      <alignment horizontal="center"/>
    </xf>
    <xf numFmtId="2" fontId="4" fillId="2" borderId="101" xfId="0" applyNumberFormat="1" applyFont="1" applyFill="1" applyBorder="1" applyAlignment="1">
      <alignment horizontal="center"/>
    </xf>
    <xf numFmtId="2" fontId="0" fillId="2" borderId="109" xfId="0" applyNumberFormat="1" applyFill="1" applyBorder="1" applyAlignment="1">
      <alignment horizontal="center"/>
    </xf>
    <xf numFmtId="2" fontId="0" fillId="2" borderId="1" xfId="0" applyNumberFormat="1" applyFill="1" applyBorder="1" applyAlignment="1">
      <alignment horizontal="center"/>
    </xf>
    <xf numFmtId="0" fontId="30" fillId="19" borderId="96" xfId="0" applyFont="1" applyFill="1" applyBorder="1" applyAlignment="1">
      <alignment horizontal="left"/>
    </xf>
    <xf numFmtId="0" fontId="30" fillId="19" borderId="103" xfId="0" applyFont="1" applyFill="1" applyBorder="1" applyAlignment="1">
      <alignment horizontal="left"/>
    </xf>
    <xf numFmtId="2" fontId="4" fillId="2" borderId="14" xfId="0" applyNumberFormat="1" applyFont="1" applyFill="1" applyBorder="1"/>
    <xf numFmtId="0" fontId="30" fillId="19" borderId="99" xfId="0" applyFont="1" applyFill="1" applyBorder="1" applyAlignment="1">
      <alignment horizontal="left"/>
    </xf>
    <xf numFmtId="2" fontId="4" fillId="2" borderId="110" xfId="0" applyNumberFormat="1" applyFont="1" applyFill="1" applyBorder="1"/>
    <xf numFmtId="0" fontId="51" fillId="2" borderId="0" xfId="0" applyFont="1" applyFill="1" applyAlignment="1">
      <alignment vertical="center"/>
    </xf>
    <xf numFmtId="2" fontId="4" fillId="2" borderId="15" xfId="0" applyNumberFormat="1" applyFont="1" applyFill="1" applyBorder="1"/>
    <xf numFmtId="0" fontId="11" fillId="2" borderId="2" xfId="0" applyFont="1" applyFill="1" applyBorder="1"/>
    <xf numFmtId="0" fontId="11" fillId="2" borderId="11" xfId="0" applyFont="1" applyFill="1" applyBorder="1"/>
    <xf numFmtId="0" fontId="11" fillId="2" borderId="4" xfId="0" applyFont="1" applyFill="1" applyBorder="1"/>
    <xf numFmtId="0" fontId="11" fillId="2" borderId="13" xfId="0" applyFont="1" applyFill="1" applyBorder="1"/>
    <xf numFmtId="2" fontId="4" fillId="2" borderId="4" xfId="0" applyNumberFormat="1" applyFont="1" applyFill="1" applyBorder="1"/>
    <xf numFmtId="2" fontId="4" fillId="2" borderId="13" xfId="0" applyNumberFormat="1" applyFont="1" applyFill="1" applyBorder="1"/>
    <xf numFmtId="2" fontId="4" fillId="2" borderId="6" xfId="0" applyNumberFormat="1" applyFont="1" applyFill="1" applyBorder="1"/>
    <xf numFmtId="2" fontId="4" fillId="2" borderId="12" xfId="0" applyNumberFormat="1" applyFont="1" applyFill="1" applyBorder="1"/>
    <xf numFmtId="0" fontId="4" fillId="0" borderId="0" xfId="7" applyAlignment="1">
      <alignment horizontal="center"/>
    </xf>
    <xf numFmtId="0" fontId="54" fillId="2" borderId="111" xfId="7" applyFont="1" applyFill="1" applyBorder="1" applyAlignment="1">
      <alignment horizontal="center"/>
    </xf>
    <xf numFmtId="0" fontId="30" fillId="2" borderId="111" xfId="7" applyFont="1" applyFill="1" applyBorder="1" applyAlignment="1">
      <alignment horizontal="center"/>
    </xf>
    <xf numFmtId="0" fontId="54" fillId="2" borderId="84" xfId="7" applyFont="1" applyFill="1" applyBorder="1" applyAlignment="1">
      <alignment horizontal="center"/>
    </xf>
    <xf numFmtId="0" fontId="30" fillId="2" borderId="84" xfId="7" applyFont="1" applyFill="1" applyBorder="1" applyAlignment="1">
      <alignment horizontal="center"/>
    </xf>
    <xf numFmtId="0" fontId="55" fillId="0" borderId="0" xfId="7" applyFont="1" applyAlignment="1">
      <alignment horizontal="center"/>
    </xf>
    <xf numFmtId="0" fontId="23" fillId="0" borderId="0" xfId="7" applyFont="1" applyAlignment="1">
      <alignment horizontal="center"/>
    </xf>
    <xf numFmtId="0" fontId="27" fillId="0" borderId="8" xfId="7" applyFont="1" applyBorder="1" applyAlignment="1">
      <alignment horizontal="center"/>
    </xf>
    <xf numFmtId="0" fontId="27" fillId="0" borderId="10" xfId="7" applyFont="1" applyBorder="1" applyAlignment="1">
      <alignment horizontal="center"/>
    </xf>
    <xf numFmtId="0" fontId="27" fillId="0" borderId="9" xfId="7" applyFont="1" applyBorder="1" applyAlignment="1">
      <alignment horizontal="center"/>
    </xf>
    <xf numFmtId="0" fontId="30" fillId="0" borderId="10" xfId="7" applyFont="1" applyBorder="1" applyAlignment="1">
      <alignment horizontal="center"/>
    </xf>
    <xf numFmtId="0" fontId="30" fillId="8" borderId="1" xfId="7" applyFont="1" applyFill="1" applyBorder="1" applyAlignment="1">
      <alignment horizontal="center"/>
    </xf>
    <xf numFmtId="0" fontId="30" fillId="14" borderId="1" xfId="7" applyFont="1" applyFill="1" applyBorder="1" applyAlignment="1">
      <alignment horizontal="center"/>
    </xf>
    <xf numFmtId="0" fontId="30" fillId="0" borderId="1" xfId="7" applyFont="1" applyBorder="1" applyAlignment="1">
      <alignment horizontal="center"/>
    </xf>
    <xf numFmtId="0" fontId="30" fillId="20" borderId="1" xfId="7" applyFont="1" applyFill="1" applyBorder="1" applyAlignment="1">
      <alignment horizontal="center"/>
    </xf>
    <xf numFmtId="0" fontId="27" fillId="0" borderId="1" xfId="7" applyFont="1" applyBorder="1" applyAlignment="1">
      <alignment horizontal="center"/>
    </xf>
    <xf numFmtId="0" fontId="30" fillId="21" borderId="1" xfId="7" applyFont="1" applyFill="1" applyBorder="1" applyAlignment="1">
      <alignment horizontal="center"/>
    </xf>
    <xf numFmtId="0" fontId="33" fillId="22" borderId="83" xfId="7" applyFont="1" applyFill="1" applyBorder="1" applyAlignment="1">
      <alignment horizontal="center"/>
    </xf>
    <xf numFmtId="0" fontId="33" fillId="22" borderId="112" xfId="7" applyFont="1" applyFill="1" applyBorder="1" applyAlignment="1">
      <alignment horizontal="center"/>
    </xf>
    <xf numFmtId="0" fontId="4" fillId="2" borderId="113" xfId="7" applyFill="1" applyBorder="1"/>
    <xf numFmtId="0" fontId="57" fillId="2" borderId="4" xfId="7" applyFont="1" applyFill="1" applyBorder="1" applyAlignment="1">
      <alignment horizontal="center"/>
    </xf>
    <xf numFmtId="0" fontId="4" fillId="2" borderId="13" xfId="7" applyFill="1" applyBorder="1"/>
    <xf numFmtId="0" fontId="4" fillId="2" borderId="4" xfId="7" applyFill="1" applyBorder="1" applyAlignment="1">
      <alignment horizontal="center" vertical="center"/>
    </xf>
    <xf numFmtId="0" fontId="4" fillId="2" borderId="5" xfId="7" applyFill="1" applyBorder="1" applyAlignment="1">
      <alignment horizontal="center"/>
    </xf>
    <xf numFmtId="0" fontId="4" fillId="2" borderId="0" xfId="7" applyFill="1" applyAlignment="1">
      <alignment horizontal="center"/>
    </xf>
    <xf numFmtId="0" fontId="4" fillId="0" borderId="50" xfId="7" applyBorder="1"/>
    <xf numFmtId="0" fontId="4" fillId="0" borderId="14" xfId="7" applyBorder="1" applyAlignment="1">
      <alignment horizontal="center"/>
    </xf>
    <xf numFmtId="0" fontId="4" fillId="0" borderId="11" xfId="7" applyBorder="1" applyAlignment="1">
      <alignment horizontal="center"/>
    </xf>
    <xf numFmtId="0" fontId="4" fillId="0" borderId="1" xfId="7" applyBorder="1" applyAlignment="1">
      <alignment horizontal="center"/>
    </xf>
    <xf numFmtId="0" fontId="4" fillId="0" borderId="4" xfId="7" applyBorder="1" applyAlignment="1">
      <alignment horizontal="center"/>
    </xf>
    <xf numFmtId="0" fontId="4" fillId="0" borderId="5" xfId="7" applyBorder="1" applyAlignment="1">
      <alignment horizontal="center"/>
    </xf>
    <xf numFmtId="0" fontId="26" fillId="0" borderId="0" xfId="7" applyFont="1" applyAlignment="1">
      <alignment horizontal="center"/>
    </xf>
    <xf numFmtId="0" fontId="30" fillId="8" borderId="13" xfId="7" applyFont="1" applyFill="1" applyBorder="1" applyAlignment="1">
      <alignment horizontal="center"/>
    </xf>
    <xf numFmtId="0" fontId="22" fillId="0" borderId="0" xfId="7" applyFont="1" applyAlignment="1">
      <alignment horizontal="center"/>
    </xf>
    <xf numFmtId="0" fontId="4" fillId="0" borderId="2" xfId="7" applyBorder="1" applyAlignment="1">
      <alignment horizontal="center"/>
    </xf>
    <xf numFmtId="0" fontId="4" fillId="0" borderId="3" xfId="7" applyBorder="1" applyAlignment="1">
      <alignment horizontal="center"/>
    </xf>
    <xf numFmtId="0" fontId="26" fillId="0" borderId="14" xfId="7" applyFont="1" applyBorder="1" applyAlignment="1">
      <alignment horizontal="center"/>
    </xf>
    <xf numFmtId="0" fontId="30" fillId="14" borderId="11" xfId="7" applyFont="1" applyFill="1" applyBorder="1" applyAlignment="1">
      <alignment horizontal="center"/>
    </xf>
    <xf numFmtId="0" fontId="26" fillId="0" borderId="13" xfId="7" applyFont="1" applyBorder="1" applyAlignment="1">
      <alignment horizontal="center"/>
    </xf>
    <xf numFmtId="0" fontId="27" fillId="20" borderId="11" xfId="7" applyFont="1" applyFill="1" applyBorder="1" applyAlignment="1">
      <alignment horizontal="center"/>
    </xf>
    <xf numFmtId="0" fontId="26" fillId="0" borderId="11" xfId="7" applyFont="1" applyBorder="1" applyAlignment="1">
      <alignment horizontal="center"/>
    </xf>
    <xf numFmtId="0" fontId="27" fillId="21" borderId="11" xfId="7" applyFont="1" applyFill="1" applyBorder="1" applyAlignment="1">
      <alignment horizontal="center"/>
    </xf>
    <xf numFmtId="0" fontId="58" fillId="0" borderId="14" xfId="7" applyFont="1" applyBorder="1" applyAlignment="1">
      <alignment horizontal="center"/>
    </xf>
    <xf numFmtId="0" fontId="59" fillId="22" borderId="80" xfId="7" applyFont="1" applyFill="1" applyBorder="1" applyAlignment="1">
      <alignment horizontal="center"/>
    </xf>
    <xf numFmtId="0" fontId="21" fillId="22" borderId="46" xfId="7" applyFont="1" applyFill="1" applyBorder="1"/>
    <xf numFmtId="0" fontId="4" fillId="2" borderId="13" xfId="7" applyFill="1" applyBorder="1" applyAlignment="1">
      <alignment horizontal="center"/>
    </xf>
    <xf numFmtId="0" fontId="4" fillId="0" borderId="43" xfId="7" applyBorder="1"/>
    <xf numFmtId="0" fontId="4" fillId="0" borderId="13" xfId="7" applyBorder="1" applyAlignment="1">
      <alignment horizontal="center"/>
    </xf>
    <xf numFmtId="0" fontId="4" fillId="0" borderId="15" xfId="7" applyBorder="1" applyAlignment="1">
      <alignment horizontal="center"/>
    </xf>
    <xf numFmtId="0" fontId="4" fillId="0" borderId="12" xfId="7" applyBorder="1" applyAlignment="1">
      <alignment horizontal="center"/>
    </xf>
    <xf numFmtId="0" fontId="30" fillId="14" borderId="13" xfId="7" applyFont="1" applyFill="1" applyBorder="1" applyAlignment="1">
      <alignment horizontal="center"/>
    </xf>
    <xf numFmtId="0" fontId="27" fillId="20" borderId="12" xfId="7" applyFont="1" applyFill="1" applyBorder="1" applyAlignment="1">
      <alignment horizontal="center"/>
    </xf>
    <xf numFmtId="0" fontId="4" fillId="0" borderId="6" xfId="7" applyBorder="1" applyAlignment="1">
      <alignment horizontal="center"/>
    </xf>
    <xf numFmtId="0" fontId="4" fillId="0" borderId="7" xfId="7" applyBorder="1" applyAlignment="1">
      <alignment horizontal="center"/>
    </xf>
    <xf numFmtId="0" fontId="26" fillId="0" borderId="12" xfId="7" applyFont="1" applyBorder="1" applyAlignment="1">
      <alignment horizontal="center"/>
    </xf>
    <xf numFmtId="0" fontId="27" fillId="21" borderId="12" xfId="7" applyFont="1" applyFill="1" applyBorder="1" applyAlignment="1">
      <alignment horizontal="center"/>
    </xf>
    <xf numFmtId="0" fontId="58" fillId="0" borderId="15" xfId="7" applyFont="1" applyBorder="1" applyAlignment="1">
      <alignment horizontal="center"/>
    </xf>
    <xf numFmtId="0" fontId="59" fillId="22" borderId="63" xfId="7" applyFont="1" applyFill="1" applyBorder="1" applyAlignment="1">
      <alignment horizontal="center"/>
    </xf>
    <xf numFmtId="0" fontId="21" fillId="22" borderId="0" xfId="7" applyFont="1" applyFill="1"/>
    <xf numFmtId="0" fontId="57" fillId="2" borderId="4" xfId="7" applyFont="1" applyFill="1" applyBorder="1"/>
    <xf numFmtId="0" fontId="26" fillId="2" borderId="13" xfId="7" applyFont="1" applyFill="1" applyBorder="1" applyAlignment="1">
      <alignment horizontal="center"/>
    </xf>
    <xf numFmtId="0" fontId="30" fillId="8" borderId="11" xfId="7" applyFont="1" applyFill="1" applyBorder="1" applyAlignment="1">
      <alignment horizontal="center"/>
    </xf>
    <xf numFmtId="0" fontId="27" fillId="20" borderId="13" xfId="7" applyFont="1" applyFill="1" applyBorder="1" applyAlignment="1">
      <alignment horizontal="center"/>
    </xf>
    <xf numFmtId="0" fontId="26" fillId="0" borderId="4" xfId="7" applyFont="1" applyBorder="1" applyAlignment="1">
      <alignment horizontal="center"/>
    </xf>
    <xf numFmtId="0" fontId="27" fillId="21" borderId="13" xfId="7" applyFont="1" applyFill="1" applyBorder="1" applyAlignment="1">
      <alignment horizontal="center"/>
    </xf>
    <xf numFmtId="0" fontId="26" fillId="0" borderId="15" xfId="7" applyFont="1" applyBorder="1" applyAlignment="1">
      <alignment horizontal="center"/>
    </xf>
    <xf numFmtId="0" fontId="30" fillId="8" borderId="12" xfId="7" applyFont="1" applyFill="1" applyBorder="1" applyAlignment="1">
      <alignment horizontal="center"/>
    </xf>
    <xf numFmtId="0" fontId="30" fillId="14" borderId="12" xfId="7" applyFont="1" applyFill="1" applyBorder="1" applyAlignment="1">
      <alignment horizontal="center"/>
    </xf>
    <xf numFmtId="0" fontId="4" fillId="2" borderId="2" xfId="7" applyFill="1" applyBorder="1"/>
    <xf numFmtId="0" fontId="58" fillId="0" borderId="0" xfId="7" applyFont="1" applyAlignment="1">
      <alignment horizontal="center"/>
    </xf>
    <xf numFmtId="0" fontId="4" fillId="2" borderId="4" xfId="7" applyFill="1" applyBorder="1" applyAlignment="1">
      <alignment horizontal="center"/>
    </xf>
    <xf numFmtId="0" fontId="53" fillId="2" borderId="5" xfId="7" applyFont="1" applyFill="1" applyBorder="1" applyAlignment="1">
      <alignment horizontal="center"/>
    </xf>
    <xf numFmtId="0" fontId="60" fillId="2" borderId="13" xfId="7" applyFont="1" applyFill="1" applyBorder="1" applyAlignment="1">
      <alignment horizontal="center"/>
    </xf>
    <xf numFmtId="0" fontId="60" fillId="2" borderId="4" xfId="7" applyFont="1" applyFill="1" applyBorder="1" applyAlignment="1">
      <alignment horizontal="center"/>
    </xf>
    <xf numFmtId="0" fontId="26" fillId="2" borderId="13" xfId="7" applyFont="1" applyFill="1" applyBorder="1"/>
    <xf numFmtId="0" fontId="26" fillId="2" borderId="12" xfId="7" applyFont="1" applyFill="1" applyBorder="1" applyAlignment="1">
      <alignment horizontal="center"/>
    </xf>
    <xf numFmtId="0" fontId="4" fillId="2" borderId="6" xfId="7" applyFill="1" applyBorder="1" applyAlignment="1">
      <alignment horizontal="center"/>
    </xf>
    <xf numFmtId="0" fontId="26" fillId="2" borderId="11" xfId="7" applyFont="1" applyFill="1" applyBorder="1"/>
    <xf numFmtId="0" fontId="4" fillId="0" borderId="63" xfId="7" applyBorder="1" applyAlignment="1">
      <alignment horizontal="center"/>
    </xf>
    <xf numFmtId="0" fontId="57" fillId="2" borderId="13" xfId="7" applyFont="1" applyFill="1" applyBorder="1"/>
    <xf numFmtId="0" fontId="57" fillId="2" borderId="13" xfId="7" applyFont="1" applyFill="1" applyBorder="1" applyAlignment="1">
      <alignment horizontal="center"/>
    </xf>
    <xf numFmtId="0" fontId="4" fillId="2" borderId="11" xfId="7" applyFill="1" applyBorder="1"/>
    <xf numFmtId="0" fontId="4" fillId="2" borderId="13" xfId="7" applyFill="1" applyBorder="1" applyAlignment="1">
      <alignment horizontal="center" vertical="center"/>
    </xf>
    <xf numFmtId="0" fontId="4" fillId="2" borderId="12" xfId="7" applyFill="1" applyBorder="1"/>
    <xf numFmtId="0" fontId="4" fillId="2" borderId="12" xfId="7" applyFill="1" applyBorder="1" applyAlignment="1">
      <alignment horizontal="center"/>
    </xf>
    <xf numFmtId="0" fontId="4" fillId="2" borderId="12" xfId="7" applyFill="1" applyBorder="1" applyAlignment="1">
      <alignment horizontal="center" vertical="center"/>
    </xf>
    <xf numFmtId="0" fontId="4" fillId="0" borderId="115" xfId="7" applyBorder="1"/>
    <xf numFmtId="0" fontId="4" fillId="0" borderId="65" xfId="7" applyBorder="1" applyAlignment="1">
      <alignment horizontal="center"/>
    </xf>
    <xf numFmtId="0" fontId="26" fillId="0" borderId="6" xfId="7" applyFont="1" applyBorder="1" applyAlignment="1">
      <alignment horizontal="center"/>
    </xf>
    <xf numFmtId="0" fontId="21" fillId="22" borderId="0" xfId="7" applyFont="1" applyFill="1" applyAlignment="1">
      <alignment horizontal="left"/>
    </xf>
    <xf numFmtId="0" fontId="61" fillId="23" borderId="61" xfId="7" applyFont="1" applyFill="1" applyBorder="1" applyAlignment="1">
      <alignment horizontal="center" vertical="center" textRotation="90"/>
    </xf>
    <xf numFmtId="0" fontId="4" fillId="23" borderId="14" xfId="7" applyFill="1" applyBorder="1"/>
    <xf numFmtId="0" fontId="57" fillId="23" borderId="14" xfId="7" applyFont="1" applyFill="1" applyBorder="1" applyAlignment="1">
      <alignment horizontal="center"/>
    </xf>
    <xf numFmtId="0" fontId="4" fillId="23" borderId="14" xfId="7" applyFill="1" applyBorder="1" applyAlignment="1">
      <alignment horizontal="center"/>
    </xf>
    <xf numFmtId="0" fontId="37" fillId="23" borderId="14" xfId="7" applyFont="1" applyFill="1" applyBorder="1" applyAlignment="1">
      <alignment horizontal="center" vertical="center"/>
    </xf>
    <xf numFmtId="0" fontId="4" fillId="23" borderId="14" xfId="7" applyFill="1" applyBorder="1" applyAlignment="1">
      <alignment horizontal="left" vertical="center"/>
    </xf>
    <xf numFmtId="0" fontId="4" fillId="23" borderId="14" xfId="7" applyFill="1" applyBorder="1" applyAlignment="1">
      <alignment horizontal="center" vertical="center"/>
    </xf>
    <xf numFmtId="0" fontId="11" fillId="23" borderId="14" xfId="7" applyFont="1" applyFill="1" applyBorder="1" applyAlignment="1">
      <alignment horizontal="center" vertical="center"/>
    </xf>
    <xf numFmtId="0" fontId="4" fillId="23" borderId="62" xfId="7" applyFill="1" applyBorder="1"/>
    <xf numFmtId="0" fontId="4" fillId="23" borderId="0" xfId="7" applyFill="1" applyAlignment="1">
      <alignment horizontal="center"/>
    </xf>
    <xf numFmtId="0" fontId="4" fillId="23" borderId="3" xfId="7" applyFill="1" applyBorder="1" applyAlignment="1">
      <alignment horizontal="center"/>
    </xf>
    <xf numFmtId="0" fontId="30" fillId="0" borderId="0" xfId="7" applyFont="1" applyAlignment="1">
      <alignment horizontal="center"/>
    </xf>
    <xf numFmtId="0" fontId="27" fillId="0" borderId="0" xfId="7" applyFont="1" applyAlignment="1">
      <alignment horizontal="center"/>
    </xf>
    <xf numFmtId="0" fontId="4" fillId="0" borderId="1" xfId="7" applyBorder="1"/>
    <xf numFmtId="0" fontId="4" fillId="17" borderId="1" xfId="7" applyFill="1" applyBorder="1"/>
    <xf numFmtId="0" fontId="30" fillId="17" borderId="1" xfId="7" applyFont="1" applyFill="1" applyBorder="1"/>
    <xf numFmtId="0" fontId="61" fillId="23" borderId="63" xfId="7" applyFont="1" applyFill="1" applyBorder="1" applyAlignment="1">
      <alignment horizontal="center" vertical="center" textRotation="90"/>
    </xf>
    <xf numFmtId="0" fontId="4" fillId="23" borderId="0" xfId="7" applyFill="1"/>
    <xf numFmtId="0" fontId="57" fillId="23" borderId="0" xfId="7" applyFont="1" applyFill="1" applyAlignment="1">
      <alignment horizontal="center"/>
    </xf>
    <xf numFmtId="0" fontId="37" fillId="23" borderId="0" xfId="7" applyFont="1" applyFill="1" applyAlignment="1">
      <alignment horizontal="center" vertical="center"/>
    </xf>
    <xf numFmtId="0" fontId="4" fillId="23" borderId="0" xfId="7" applyFill="1" applyAlignment="1">
      <alignment horizontal="left" vertical="center"/>
    </xf>
    <xf numFmtId="0" fontId="4" fillId="23" borderId="0" xfId="7" applyFill="1" applyAlignment="1">
      <alignment horizontal="center" vertical="center"/>
    </xf>
    <xf numFmtId="0" fontId="11" fillId="23" borderId="0" xfId="7" applyFont="1" applyFill="1" applyAlignment="1">
      <alignment horizontal="center" vertical="center"/>
    </xf>
    <xf numFmtId="0" fontId="4" fillId="23" borderId="64" xfId="7" applyFill="1" applyBorder="1"/>
    <xf numFmtId="0" fontId="4" fillId="23" borderId="5" xfId="7" applyFill="1" applyBorder="1" applyAlignment="1">
      <alignment horizontal="center"/>
    </xf>
    <xf numFmtId="0" fontId="61" fillId="23" borderId="65" xfId="7" applyFont="1" applyFill="1" applyBorder="1" applyAlignment="1">
      <alignment horizontal="center" vertical="center" textRotation="90"/>
    </xf>
    <xf numFmtId="0" fontId="4" fillId="23" borderId="15" xfId="7" applyFill="1" applyBorder="1"/>
    <xf numFmtId="0" fontId="57" fillId="23" borderId="15" xfId="7" applyFont="1" applyFill="1" applyBorder="1" applyAlignment="1">
      <alignment horizontal="center"/>
    </xf>
    <xf numFmtId="0" fontId="4" fillId="23" borderId="15" xfId="7" applyFill="1" applyBorder="1" applyAlignment="1">
      <alignment horizontal="center"/>
    </xf>
    <xf numFmtId="0" fontId="37" fillId="23" borderId="15" xfId="7" applyFont="1" applyFill="1" applyBorder="1" applyAlignment="1">
      <alignment horizontal="center" vertical="center"/>
    </xf>
    <xf numFmtId="0" fontId="4" fillId="23" borderId="15" xfId="7" applyFill="1" applyBorder="1" applyAlignment="1">
      <alignment horizontal="left" vertical="center"/>
    </xf>
    <xf numFmtId="0" fontId="4" fillId="23" borderId="15" xfId="7" applyFill="1" applyBorder="1" applyAlignment="1">
      <alignment horizontal="center" vertical="center"/>
    </xf>
    <xf numFmtId="0" fontId="11" fillId="23" borderId="15" xfId="7" applyFont="1" applyFill="1" applyBorder="1" applyAlignment="1">
      <alignment horizontal="center" vertical="center"/>
    </xf>
    <xf numFmtId="0" fontId="4" fillId="23" borderId="66" xfId="7" applyFill="1" applyBorder="1"/>
    <xf numFmtId="0" fontId="4" fillId="23" borderId="7" xfId="7" applyFill="1" applyBorder="1" applyAlignment="1">
      <alignment horizontal="center"/>
    </xf>
    <xf numFmtId="0" fontId="27" fillId="0" borderId="4" xfId="7" applyFont="1" applyBorder="1" applyAlignment="1">
      <alignment horizontal="center"/>
    </xf>
    <xf numFmtId="0" fontId="27" fillId="0" borderId="5" xfId="7" applyFont="1" applyBorder="1" applyAlignment="1">
      <alignment horizontal="center"/>
    </xf>
    <xf numFmtId="0" fontId="30" fillId="0" borderId="8" xfId="7" applyFont="1" applyBorder="1" applyAlignment="1">
      <alignment horizontal="center"/>
    </xf>
    <xf numFmtId="0" fontId="4" fillId="2" borderId="0" xfId="7" applyFill="1"/>
    <xf numFmtId="0" fontId="62" fillId="2" borderId="13" xfId="7" applyFont="1" applyFill="1" applyBorder="1" applyAlignment="1">
      <alignment horizontal="center"/>
    </xf>
    <xf numFmtId="0" fontId="15" fillId="2" borderId="11" xfId="7" applyFont="1" applyFill="1" applyBorder="1" applyAlignment="1">
      <alignment horizontal="center"/>
    </xf>
    <xf numFmtId="0" fontId="4" fillId="2" borderId="13" xfId="7" applyFill="1" applyBorder="1" applyAlignment="1">
      <alignment vertical="center"/>
    </xf>
    <xf numFmtId="0" fontId="40" fillId="2" borderId="4" xfId="7" applyFont="1" applyFill="1" applyBorder="1" applyAlignment="1">
      <alignment horizontal="center"/>
    </xf>
    <xf numFmtId="0" fontId="4" fillId="2" borderId="11" xfId="7" applyFill="1" applyBorder="1" applyAlignment="1">
      <alignment horizontal="center"/>
    </xf>
    <xf numFmtId="0" fontId="26" fillId="0" borderId="2" xfId="7" applyFont="1" applyBorder="1" applyAlignment="1">
      <alignment horizontal="center"/>
    </xf>
    <xf numFmtId="0" fontId="4" fillId="20" borderId="11" xfId="7" applyFill="1" applyBorder="1"/>
    <xf numFmtId="0" fontId="4" fillId="23" borderId="11" xfId="7" applyFill="1" applyBorder="1" applyAlignment="1">
      <alignment horizontal="center"/>
    </xf>
    <xf numFmtId="0" fontId="4" fillId="0" borderId="13" xfId="7" applyBorder="1"/>
    <xf numFmtId="0" fontId="4" fillId="20" borderId="13" xfId="7" applyFill="1" applyBorder="1"/>
    <xf numFmtId="0" fontId="4" fillId="23" borderId="13" xfId="7" applyFill="1" applyBorder="1" applyAlignment="1">
      <alignment horizontal="center"/>
    </xf>
    <xf numFmtId="0" fontId="63" fillId="2" borderId="4" xfId="7" applyFont="1" applyFill="1" applyBorder="1" applyAlignment="1">
      <alignment horizontal="center"/>
    </xf>
    <xf numFmtId="0" fontId="22" fillId="2" borderId="13" xfId="7" applyFont="1" applyFill="1" applyBorder="1" applyAlignment="1">
      <alignment horizontal="center" vertical="center"/>
    </xf>
    <xf numFmtId="0" fontId="64" fillId="2" borderId="4" xfId="7" applyFont="1" applyFill="1" applyBorder="1" applyAlignment="1">
      <alignment horizontal="center"/>
    </xf>
    <xf numFmtId="0" fontId="64" fillId="2" borderId="13" xfId="7" applyFont="1" applyFill="1" applyBorder="1" applyAlignment="1">
      <alignment horizontal="center" vertical="center"/>
    </xf>
    <xf numFmtId="0" fontId="4" fillId="20" borderId="12" xfId="7" applyFill="1" applyBorder="1"/>
    <xf numFmtId="0" fontId="64" fillId="0" borderId="13" xfId="7" applyFont="1" applyBorder="1"/>
    <xf numFmtId="0" fontId="40" fillId="2" borderId="11" xfId="7" applyFont="1" applyFill="1" applyBorder="1" applyAlignment="1">
      <alignment horizontal="center"/>
    </xf>
    <xf numFmtId="0" fontId="40" fillId="2" borderId="13" xfId="7" applyFont="1" applyFill="1" applyBorder="1" applyAlignment="1">
      <alignment horizontal="center"/>
    </xf>
    <xf numFmtId="0" fontId="22" fillId="2" borderId="13" xfId="7" applyFont="1" applyFill="1" applyBorder="1" applyAlignment="1">
      <alignment vertical="center"/>
    </xf>
    <xf numFmtId="0" fontId="63" fillId="2" borderId="13" xfId="7" applyFont="1" applyFill="1" applyBorder="1" applyAlignment="1">
      <alignment horizontal="center"/>
    </xf>
    <xf numFmtId="0" fontId="4" fillId="23" borderId="12" xfId="7" applyFill="1" applyBorder="1" applyAlignment="1">
      <alignment horizontal="center"/>
    </xf>
    <xf numFmtId="0" fontId="46" fillId="2" borderId="11" xfId="7" applyFont="1" applyFill="1" applyBorder="1"/>
    <xf numFmtId="0" fontId="4" fillId="16" borderId="11" xfId="7" applyFill="1" applyBorder="1" applyAlignment="1">
      <alignment horizontal="center"/>
    </xf>
    <xf numFmtId="0" fontId="4" fillId="2" borderId="13" xfId="7" applyFill="1" applyBorder="1" applyAlignment="1">
      <alignment vertical="top"/>
    </xf>
    <xf numFmtId="0" fontId="4" fillId="16" borderId="13" xfId="7" applyFill="1" applyBorder="1" applyAlignment="1">
      <alignment horizontal="center"/>
    </xf>
    <xf numFmtId="0" fontId="4" fillId="2" borderId="13" xfId="7" applyFill="1" applyBorder="1" applyAlignment="1">
      <alignment horizontal="center" vertical="top"/>
    </xf>
    <xf numFmtId="0" fontId="46" fillId="2" borderId="13" xfId="7" applyFont="1" applyFill="1" applyBorder="1" applyAlignment="1">
      <alignment horizontal="center"/>
    </xf>
    <xf numFmtId="0" fontId="4" fillId="2" borderId="12" xfId="7" applyFill="1" applyBorder="1" applyAlignment="1">
      <alignment horizontal="center" vertical="top"/>
    </xf>
    <xf numFmtId="0" fontId="63" fillId="2" borderId="12" xfId="7" applyFont="1" applyFill="1" applyBorder="1" applyAlignment="1">
      <alignment horizontal="center"/>
    </xf>
    <xf numFmtId="0" fontId="4" fillId="14" borderId="11" xfId="7" applyFill="1" applyBorder="1" applyAlignment="1">
      <alignment horizontal="center"/>
    </xf>
    <xf numFmtId="0" fontId="4" fillId="14" borderId="13" xfId="7" applyFill="1" applyBorder="1" applyAlignment="1">
      <alignment horizontal="center"/>
    </xf>
    <xf numFmtId="0" fontId="4" fillId="2" borderId="13" xfId="7" applyFill="1" applyBorder="1" applyAlignment="1">
      <alignment horizontal="left"/>
    </xf>
    <xf numFmtId="0" fontId="4" fillId="2" borderId="43" xfId="7" applyFill="1" applyBorder="1" applyAlignment="1">
      <alignment horizontal="left"/>
    </xf>
    <xf numFmtId="0" fontId="4" fillId="14" borderId="12" xfId="7" applyFill="1" applyBorder="1" applyAlignment="1">
      <alignment horizontal="center"/>
    </xf>
    <xf numFmtId="0" fontId="46" fillId="2" borderId="11" xfId="7" applyFont="1" applyFill="1" applyBorder="1" applyAlignment="1">
      <alignment horizontal="center"/>
    </xf>
    <xf numFmtId="0" fontId="4" fillId="2" borderId="79" xfId="7" applyFill="1" applyBorder="1"/>
    <xf numFmtId="0" fontId="57" fillId="2" borderId="118" xfId="7" applyFont="1" applyFill="1" applyBorder="1"/>
    <xf numFmtId="0" fontId="4" fillId="2" borderId="118" xfId="7" applyFill="1" applyBorder="1" applyAlignment="1">
      <alignment horizontal="center"/>
    </xf>
    <xf numFmtId="0" fontId="37" fillId="2" borderId="49" xfId="7" applyFont="1" applyFill="1" applyBorder="1" applyAlignment="1">
      <alignment horizontal="center" vertical="center"/>
    </xf>
    <xf numFmtId="0" fontId="4" fillId="2" borderId="49" xfId="7" applyFill="1" applyBorder="1"/>
    <xf numFmtId="0" fontId="4" fillId="2" borderId="78" xfId="7" applyFill="1" applyBorder="1"/>
    <xf numFmtId="0" fontId="4" fillId="2" borderId="119" xfId="7" applyFill="1" applyBorder="1" applyAlignment="1">
      <alignment horizontal="center"/>
    </xf>
    <xf numFmtId="0" fontId="4" fillId="2" borderId="67" xfId="7" applyFill="1" applyBorder="1" applyAlignment="1">
      <alignment horizontal="center"/>
    </xf>
    <xf numFmtId="0" fontId="4" fillId="2" borderId="119" xfId="7" applyFill="1" applyBorder="1"/>
    <xf numFmtId="0" fontId="4" fillId="0" borderId="81" xfId="7" applyBorder="1"/>
    <xf numFmtId="0" fontId="4" fillId="24" borderId="8" xfId="7" applyFill="1" applyBorder="1" applyAlignment="1">
      <alignment horizontal="center"/>
    </xf>
    <xf numFmtId="0" fontId="4" fillId="24" borderId="10" xfId="7" applyFill="1" applyBorder="1" applyAlignment="1">
      <alignment horizontal="center"/>
    </xf>
    <xf numFmtId="0" fontId="4" fillId="24" borderId="10" xfId="7" applyFill="1" applyBorder="1"/>
    <xf numFmtId="0" fontId="26" fillId="24" borderId="1" xfId="7" applyFont="1" applyFill="1" applyBorder="1" applyAlignment="1">
      <alignment horizontal="center"/>
    </xf>
    <xf numFmtId="0" fontId="30" fillId="24" borderId="9" xfId="7" applyFont="1" applyFill="1" applyBorder="1" applyAlignment="1">
      <alignment horizontal="center"/>
    </xf>
    <xf numFmtId="0" fontId="21" fillId="22" borderId="79" xfId="7" applyFont="1" applyFill="1" applyBorder="1"/>
    <xf numFmtId="0" fontId="4" fillId="17" borderId="1" xfId="7" applyFill="1" applyBorder="1" applyAlignment="1">
      <alignment horizontal="center"/>
    </xf>
    <xf numFmtId="0" fontId="30" fillId="17" borderId="1" xfId="7" applyFont="1" applyFill="1" applyBorder="1" applyAlignment="1">
      <alignment horizontal="center"/>
    </xf>
    <xf numFmtId="0" fontId="57" fillId="0" borderId="0" xfId="7" applyFont="1"/>
    <xf numFmtId="0" fontId="27" fillId="2" borderId="80" xfId="7" applyFont="1" applyFill="1" applyBorder="1" applyAlignment="1">
      <alignment horizontal="center"/>
    </xf>
    <xf numFmtId="2" fontId="27" fillId="2" borderId="59" xfId="7" applyNumberFormat="1" applyFont="1" applyFill="1" applyBorder="1" applyAlignment="1">
      <alignment horizontal="center"/>
    </xf>
    <xf numFmtId="0" fontId="27" fillId="2" borderId="68" xfId="7" applyFont="1" applyFill="1" applyBorder="1" applyAlignment="1">
      <alignment horizontal="center"/>
    </xf>
    <xf numFmtId="2" fontId="27" fillId="2" borderId="120" xfId="7" applyNumberFormat="1" applyFont="1" applyFill="1" applyBorder="1" applyAlignment="1">
      <alignment horizontal="center"/>
    </xf>
    <xf numFmtId="0" fontId="30" fillId="17" borderId="6" xfId="7" applyFont="1" applyFill="1" applyBorder="1" applyAlignment="1">
      <alignment horizontal="left"/>
    </xf>
    <xf numFmtId="2" fontId="30" fillId="17" borderId="13" xfId="7" applyNumberFormat="1" applyFont="1" applyFill="1" applyBorder="1"/>
    <xf numFmtId="2" fontId="15" fillId="17" borderId="11" xfId="7" applyNumberFormat="1" applyFont="1" applyFill="1" applyBorder="1" applyAlignment="1">
      <alignment horizontal="right"/>
    </xf>
    <xf numFmtId="0" fontId="22" fillId="0" borderId="0" xfId="7" applyFont="1"/>
    <xf numFmtId="0" fontId="30" fillId="17" borderId="8" xfId="7" applyFont="1" applyFill="1" applyBorder="1" applyAlignment="1">
      <alignment horizontal="left"/>
    </xf>
    <xf numFmtId="2" fontId="15" fillId="17" borderId="13" xfId="7" applyNumberFormat="1" applyFont="1" applyFill="1" applyBorder="1" applyAlignment="1">
      <alignment horizontal="right"/>
    </xf>
    <xf numFmtId="2" fontId="30" fillId="17" borderId="12" xfId="7" applyNumberFormat="1" applyFont="1" applyFill="1" applyBorder="1"/>
    <xf numFmtId="0" fontId="30" fillId="0" borderId="8" xfId="7" applyFont="1" applyBorder="1" applyAlignment="1">
      <alignment horizontal="left"/>
    </xf>
    <xf numFmtId="2" fontId="35" fillId="8" borderId="13" xfId="7" applyNumberFormat="1" applyFont="1" applyFill="1" applyBorder="1" applyAlignment="1" applyProtection="1">
      <alignment horizontal="right"/>
      <protection locked="0"/>
    </xf>
    <xf numFmtId="167" fontId="23" fillId="0" borderId="0" xfId="7" applyNumberFormat="1" applyFont="1" applyAlignment="1">
      <alignment horizontal="center"/>
    </xf>
    <xf numFmtId="0" fontId="68" fillId="25" borderId="68" xfId="7" applyFont="1" applyFill="1" applyBorder="1" applyAlignment="1">
      <alignment horizontal="center" vertical="center"/>
    </xf>
    <xf numFmtId="0" fontId="68" fillId="25" borderId="81" xfId="7" applyFont="1" applyFill="1" applyBorder="1" applyAlignment="1">
      <alignment horizontal="center" vertical="center"/>
    </xf>
    <xf numFmtId="0" fontId="35" fillId="0" borderId="0" xfId="7" applyFont="1"/>
    <xf numFmtId="0" fontId="33" fillId="25" borderId="83" xfId="7" applyFont="1" applyFill="1" applyBorder="1" applyAlignment="1">
      <alignment horizontal="center"/>
    </xf>
    <xf numFmtId="0" fontId="33" fillId="25" borderId="92" xfId="7" applyFont="1" applyFill="1" applyBorder="1" applyAlignment="1">
      <alignment horizontal="center"/>
    </xf>
    <xf numFmtId="0" fontId="21" fillId="25" borderId="63" xfId="7" applyFont="1" applyFill="1" applyBorder="1"/>
    <xf numFmtId="0" fontId="21" fillId="25" borderId="64" xfId="7" applyFont="1" applyFill="1" applyBorder="1"/>
    <xf numFmtId="0" fontId="33" fillId="25" borderId="80" xfId="7" applyFont="1" applyFill="1" applyBorder="1" applyAlignment="1">
      <alignment horizontal="center" vertical="center"/>
    </xf>
    <xf numFmtId="0" fontId="33" fillId="25" borderId="69" xfId="7" applyFont="1" applyFill="1" applyBorder="1" applyAlignment="1">
      <alignment horizontal="center" vertical="center"/>
    </xf>
    <xf numFmtId="0" fontId="4" fillId="0" borderId="0" xfId="7" applyAlignment="1">
      <alignment horizontal="left"/>
    </xf>
    <xf numFmtId="0" fontId="33" fillId="25" borderId="63" xfId="7" applyFont="1" applyFill="1" applyBorder="1" applyAlignment="1">
      <alignment horizontal="center" vertical="center"/>
    </xf>
    <xf numFmtId="0" fontId="33" fillId="25" borderId="64" xfId="7" applyFont="1" applyFill="1" applyBorder="1" applyAlignment="1">
      <alignment horizontal="center" vertical="center"/>
    </xf>
    <xf numFmtId="2" fontId="35" fillId="8" borderId="12" xfId="7" applyNumberFormat="1" applyFont="1" applyFill="1" applyBorder="1" applyAlignment="1" applyProtection="1">
      <alignment horizontal="right"/>
      <protection locked="0"/>
    </xf>
    <xf numFmtId="0" fontId="30" fillId="0" borderId="1" xfId="7" applyFont="1" applyBorder="1" applyAlignment="1">
      <alignment horizontal="right"/>
    </xf>
    <xf numFmtId="2" fontId="33" fillId="0" borderId="0" xfId="7" applyNumberFormat="1" applyFont="1" applyAlignment="1" applyProtection="1">
      <alignment horizontal="right"/>
      <protection locked="0"/>
    </xf>
    <xf numFmtId="2" fontId="35" fillId="0" borderId="0" xfId="7" applyNumberFormat="1" applyFont="1" applyAlignment="1">
      <alignment horizontal="right"/>
    </xf>
    <xf numFmtId="2" fontId="4" fillId="0" borderId="0" xfId="7" applyNumberFormat="1"/>
    <xf numFmtId="2" fontId="4" fillId="0" borderId="0" xfId="7" applyNumberFormat="1" applyAlignment="1">
      <alignment horizontal="right"/>
    </xf>
    <xf numFmtId="0" fontId="33" fillId="25" borderId="68" xfId="7" applyFont="1" applyFill="1" applyBorder="1" applyAlignment="1">
      <alignment horizontal="center" vertical="center"/>
    </xf>
    <xf numFmtId="0" fontId="33" fillId="25" borderId="81" xfId="7" applyFont="1" applyFill="1" applyBorder="1" applyAlignment="1">
      <alignment horizontal="center" vertical="center"/>
    </xf>
    <xf numFmtId="0" fontId="71" fillId="0" borderId="0" xfId="4" applyFont="1"/>
    <xf numFmtId="1" fontId="20" fillId="0" borderId="0" xfId="0" applyNumberFormat="1" applyFont="1" applyAlignment="1">
      <alignment horizontal="center" vertical="center"/>
    </xf>
    <xf numFmtId="49" fontId="20" fillId="0" borderId="0" xfId="0" applyNumberFormat="1" applyFont="1" applyAlignment="1">
      <alignment horizontal="center" vertical="center"/>
    </xf>
    <xf numFmtId="0" fontId="20" fillId="0" borderId="0" xfId="6" applyFont="1" applyAlignment="1">
      <alignment horizontal="center" vertical="center"/>
    </xf>
    <xf numFmtId="169" fontId="5" fillId="6" borderId="0" xfId="17" applyNumberFormat="1" applyFont="1" applyFill="1" applyAlignment="1" applyProtection="1">
      <alignment vertical="center"/>
      <protection locked="0"/>
    </xf>
    <xf numFmtId="174" fontId="4" fillId="0" borderId="1" xfId="4" applyNumberFormat="1" applyBorder="1" applyAlignment="1">
      <alignment horizontal="center"/>
    </xf>
    <xf numFmtId="175" fontId="4" fillId="0" borderId="1" xfId="4" applyNumberFormat="1" applyBorder="1" applyAlignment="1">
      <alignment horizontal="center"/>
    </xf>
    <xf numFmtId="0" fontId="3" fillId="0" borderId="2" xfId="1" applyFont="1" applyBorder="1" applyAlignment="1">
      <alignment vertical="center"/>
    </xf>
    <xf numFmtId="0" fontId="3" fillId="0" borderId="14" xfId="1" applyFont="1" applyBorder="1" applyAlignment="1">
      <alignment vertical="center"/>
    </xf>
    <xf numFmtId="0" fontId="3" fillId="0" borderId="3" xfId="1" applyFont="1" applyBorder="1" applyAlignment="1">
      <alignment vertical="center"/>
    </xf>
    <xf numFmtId="0" fontId="3" fillId="0" borderId="4" xfId="1" applyFont="1" applyBorder="1" applyAlignment="1">
      <alignment vertical="center"/>
    </xf>
    <xf numFmtId="0" fontId="3" fillId="0" borderId="5" xfId="1" applyFont="1" applyBorder="1" applyAlignment="1">
      <alignment vertical="center"/>
    </xf>
    <xf numFmtId="0" fontId="3" fillId="0" borderId="6" xfId="1" applyFont="1" applyBorder="1" applyAlignment="1">
      <alignment vertical="center"/>
    </xf>
    <xf numFmtId="0" fontId="3" fillId="0" borderId="15" xfId="1" applyFont="1" applyBorder="1" applyAlignment="1">
      <alignment vertical="center"/>
    </xf>
    <xf numFmtId="0" fontId="3" fillId="0" borderId="7" xfId="1" applyFont="1" applyBorder="1" applyAlignment="1">
      <alignment vertical="center"/>
    </xf>
    <xf numFmtId="2" fontId="6" fillId="2" borderId="0" xfId="0" applyNumberFormat="1" applyFont="1" applyFill="1" applyAlignment="1">
      <alignment horizontal="center" vertical="center"/>
    </xf>
    <xf numFmtId="0" fontId="18" fillId="0" borderId="0" xfId="7" applyFont="1" applyProtection="1">
      <protection hidden="1"/>
    </xf>
    <xf numFmtId="0" fontId="4" fillId="28" borderId="0" xfId="7" applyFill="1"/>
    <xf numFmtId="0" fontId="4" fillId="9" borderId="0" xfId="7" applyFill="1"/>
    <xf numFmtId="0" fontId="21" fillId="0" borderId="0" xfId="7" applyFont="1" applyProtection="1">
      <protection hidden="1"/>
    </xf>
    <xf numFmtId="0" fontId="77" fillId="0" borderId="0" xfId="7" applyFont="1" applyProtection="1">
      <protection hidden="1"/>
    </xf>
    <xf numFmtId="0" fontId="61" fillId="0" borderId="0" xfId="7" applyFont="1" applyAlignment="1" applyProtection="1">
      <alignment horizontal="centerContinuous"/>
      <protection hidden="1"/>
    </xf>
    <xf numFmtId="0" fontId="61" fillId="0" borderId="0" xfId="7" applyFont="1" applyAlignment="1" applyProtection="1">
      <alignment horizontal="center"/>
      <protection hidden="1"/>
    </xf>
    <xf numFmtId="0" fontId="30" fillId="0" borderId="0" xfId="7" applyFont="1" applyAlignment="1" applyProtection="1">
      <alignment horizontal="center"/>
      <protection hidden="1"/>
    </xf>
    <xf numFmtId="0" fontId="40" fillId="0" borderId="0" xfId="7" applyFont="1" applyAlignment="1" applyProtection="1">
      <alignment horizontal="centerContinuous" vertical="top"/>
      <protection hidden="1"/>
    </xf>
    <xf numFmtId="0" fontId="40" fillId="0" borderId="0" xfId="7" applyFont="1" applyAlignment="1" applyProtection="1">
      <alignment horizontal="center" vertical="top"/>
      <protection hidden="1"/>
    </xf>
    <xf numFmtId="0" fontId="24" fillId="0" borderId="0" xfId="7" applyFont="1" applyAlignment="1">
      <alignment horizontal="center"/>
    </xf>
    <xf numFmtId="0" fontId="4" fillId="0" borderId="123" xfId="7" applyBorder="1" applyProtection="1">
      <protection hidden="1"/>
    </xf>
    <xf numFmtId="0" fontId="4" fillId="0" borderId="41" xfId="7" applyBorder="1" applyProtection="1">
      <protection hidden="1"/>
    </xf>
    <xf numFmtId="0" fontId="24" fillId="0" borderId="0" xfId="7" applyFont="1" applyAlignment="1" applyProtection="1">
      <alignment horizontal="left"/>
      <protection hidden="1"/>
    </xf>
    <xf numFmtId="0" fontId="24" fillId="0" borderId="0" xfId="7" applyFont="1" applyAlignment="1" applyProtection="1">
      <alignment horizontal="center"/>
      <protection hidden="1"/>
    </xf>
    <xf numFmtId="0" fontId="4" fillId="0" borderId="42" xfId="7" applyBorder="1" applyProtection="1">
      <protection hidden="1"/>
    </xf>
    <xf numFmtId="169" fontId="30" fillId="20" borderId="43" xfId="7" applyNumberFormat="1" applyFont="1" applyFill="1" applyBorder="1" applyProtection="1">
      <protection locked="0"/>
    </xf>
    <xf numFmtId="0" fontId="4" fillId="0" borderId="124" xfId="7" applyBorder="1" applyAlignment="1" applyProtection="1">
      <alignment horizontal="center"/>
      <protection hidden="1"/>
    </xf>
    <xf numFmtId="0" fontId="4" fillId="0" borderId="127" xfId="7" applyBorder="1" applyAlignment="1" applyProtection="1">
      <alignment horizontal="center"/>
      <protection hidden="1"/>
    </xf>
    <xf numFmtId="0" fontId="4" fillId="0" borderId="128" xfId="7" applyBorder="1" applyProtection="1">
      <protection hidden="1"/>
    </xf>
    <xf numFmtId="169" fontId="30" fillId="20" borderId="48" xfId="7" applyNumberFormat="1" applyFont="1" applyFill="1" applyBorder="1" applyProtection="1">
      <protection locked="0"/>
    </xf>
    <xf numFmtId="0" fontId="4" fillId="0" borderId="129" xfId="7" applyBorder="1" applyAlignment="1" applyProtection="1">
      <alignment horizontal="center"/>
      <protection hidden="1"/>
    </xf>
    <xf numFmtId="0" fontId="4" fillId="0" borderId="130" xfId="7" applyBorder="1" applyAlignment="1" applyProtection="1">
      <alignment horizontal="center"/>
      <protection hidden="1"/>
    </xf>
    <xf numFmtId="0" fontId="4" fillId="0" borderId="0" xfId="7" applyAlignment="1" applyProtection="1">
      <alignment horizontal="left"/>
      <protection hidden="1"/>
    </xf>
    <xf numFmtId="0" fontId="4" fillId="0" borderId="131" xfId="7" applyBorder="1" applyAlignment="1" applyProtection="1">
      <alignment horizontal="center"/>
      <protection hidden="1"/>
    </xf>
    <xf numFmtId="0" fontId="30" fillId="0" borderId="14" xfId="7" applyFont="1" applyBorder="1" applyAlignment="1" applyProtection="1">
      <alignment horizontal="center"/>
      <protection hidden="1"/>
    </xf>
    <xf numFmtId="169" fontId="30" fillId="20" borderId="41" xfId="7" applyNumberFormat="1" applyFont="1" applyFill="1" applyBorder="1" applyProtection="1">
      <protection locked="0"/>
    </xf>
    <xf numFmtId="0" fontId="4" fillId="0" borderId="133" xfId="7" applyBorder="1" applyAlignment="1" applyProtection="1">
      <alignment horizontal="center"/>
      <protection hidden="1"/>
    </xf>
    <xf numFmtId="0" fontId="37" fillId="0" borderId="134" xfId="7" applyFont="1" applyBorder="1" applyAlignment="1" applyProtection="1">
      <alignment horizontal="center"/>
      <protection hidden="1"/>
    </xf>
    <xf numFmtId="0" fontId="37" fillId="0" borderId="135" xfId="7" applyFont="1" applyBorder="1" applyAlignment="1" applyProtection="1">
      <alignment horizontal="center"/>
      <protection hidden="1"/>
    </xf>
    <xf numFmtId="0" fontId="37" fillId="0" borderId="52" xfId="7" applyFont="1" applyBorder="1" applyAlignment="1" applyProtection="1">
      <alignment horizontal="center"/>
      <protection hidden="1"/>
    </xf>
    <xf numFmtId="0" fontId="37" fillId="0" borderId="54" xfId="7" applyFont="1" applyBorder="1" applyAlignment="1" applyProtection="1">
      <alignment horizontal="center"/>
      <protection hidden="1"/>
    </xf>
    <xf numFmtId="0" fontId="4" fillId="0" borderId="137" xfId="7" applyBorder="1" applyAlignment="1" applyProtection="1">
      <alignment horizontal="center"/>
      <protection hidden="1"/>
    </xf>
    <xf numFmtId="0" fontId="37" fillId="0" borderId="68" xfId="7" applyFont="1" applyBorder="1" applyAlignment="1" applyProtection="1">
      <alignment horizontal="center"/>
      <protection hidden="1"/>
    </xf>
    <xf numFmtId="0" fontId="37" fillId="0" borderId="138" xfId="7" applyFont="1" applyBorder="1" applyAlignment="1" applyProtection="1">
      <alignment horizontal="center"/>
      <protection hidden="1"/>
    </xf>
    <xf numFmtId="0" fontId="37" fillId="0" borderId="79" xfId="7" applyFont="1" applyBorder="1" applyAlignment="1" applyProtection="1">
      <alignment horizontal="center"/>
      <protection hidden="1"/>
    </xf>
    <xf numFmtId="0" fontId="37" fillId="0" borderId="139" xfId="7" applyFont="1" applyBorder="1" applyAlignment="1" applyProtection="1">
      <alignment horizontal="center"/>
      <protection hidden="1"/>
    </xf>
    <xf numFmtId="0" fontId="24" fillId="23" borderId="0" xfId="7" applyFont="1" applyFill="1" applyAlignment="1" applyProtection="1">
      <alignment horizontal="right"/>
      <protection hidden="1"/>
    </xf>
    <xf numFmtId="0" fontId="30" fillId="29" borderId="0" xfId="7" quotePrefix="1" applyFont="1" applyFill="1" applyAlignment="1" applyProtection="1">
      <alignment horizontal="center"/>
      <protection hidden="1"/>
    </xf>
    <xf numFmtId="0" fontId="37" fillId="0" borderId="63" xfId="7" applyFont="1" applyBorder="1" applyAlignment="1" applyProtection="1">
      <alignment horizontal="center"/>
      <protection hidden="1"/>
    </xf>
    <xf numFmtId="0" fontId="37" fillId="0" borderId="141" xfId="7" applyFont="1" applyBorder="1" applyAlignment="1" applyProtection="1">
      <alignment horizontal="center"/>
      <protection hidden="1"/>
    </xf>
    <xf numFmtId="0" fontId="4" fillId="0" borderId="13" xfId="7" applyBorder="1" applyProtection="1">
      <protection hidden="1"/>
    </xf>
    <xf numFmtId="0" fontId="37" fillId="0" borderId="0" xfId="7" applyFont="1" applyAlignment="1" applyProtection="1">
      <alignment horizontal="center"/>
      <protection hidden="1"/>
    </xf>
    <xf numFmtId="0" fontId="37" fillId="0" borderId="55" xfId="7" applyFont="1" applyBorder="1" applyAlignment="1" applyProtection="1">
      <alignment horizontal="center"/>
      <protection hidden="1"/>
    </xf>
    <xf numFmtId="0" fontId="4" fillId="0" borderId="63" xfId="7" applyBorder="1" applyProtection="1">
      <protection hidden="1"/>
    </xf>
    <xf numFmtId="0" fontId="37" fillId="0" borderId="136" xfId="7" applyFont="1" applyBorder="1" applyAlignment="1" applyProtection="1">
      <alignment horizontal="center"/>
      <protection hidden="1"/>
    </xf>
    <xf numFmtId="0" fontId="4" fillId="0" borderId="141" xfId="7" applyBorder="1" applyProtection="1">
      <protection hidden="1"/>
    </xf>
    <xf numFmtId="0" fontId="4" fillId="0" borderId="142" xfId="7" applyBorder="1" applyProtection="1">
      <protection hidden="1"/>
    </xf>
    <xf numFmtId="0" fontId="4" fillId="0" borderId="55" xfId="7" applyBorder="1" applyProtection="1">
      <protection hidden="1"/>
    </xf>
    <xf numFmtId="0" fontId="4" fillId="0" borderId="136" xfId="7" applyBorder="1" applyAlignment="1" applyProtection="1">
      <alignment horizontal="center"/>
      <protection hidden="1"/>
    </xf>
    <xf numFmtId="0" fontId="4" fillId="0" borderId="143" xfId="7" applyBorder="1" applyProtection="1">
      <protection hidden="1"/>
    </xf>
    <xf numFmtId="0" fontId="21" fillId="0" borderId="0" xfId="7" applyFont="1"/>
    <xf numFmtId="0" fontId="4" fillId="0" borderId="144" xfId="7" applyBorder="1" applyAlignment="1" applyProtection="1">
      <alignment horizontal="center"/>
      <protection hidden="1"/>
    </xf>
    <xf numFmtId="0" fontId="4" fillId="0" borderId="145" xfId="7" applyBorder="1" applyProtection="1">
      <protection hidden="1"/>
    </xf>
    <xf numFmtId="0" fontId="4" fillId="0" borderId="33" xfId="7" applyBorder="1" applyProtection="1">
      <protection hidden="1"/>
    </xf>
    <xf numFmtId="0" fontId="4" fillId="0" borderId="51" xfId="7" applyBorder="1" applyProtection="1">
      <protection hidden="1"/>
    </xf>
    <xf numFmtId="0" fontId="4" fillId="0" borderId="34" xfId="7" applyBorder="1" applyProtection="1">
      <protection hidden="1"/>
    </xf>
    <xf numFmtId="0" fontId="4" fillId="0" borderId="32" xfId="7" applyBorder="1" applyProtection="1">
      <protection hidden="1"/>
    </xf>
    <xf numFmtId="0" fontId="4" fillId="0" borderId="146" xfId="7" applyBorder="1" applyProtection="1">
      <protection hidden="1"/>
    </xf>
    <xf numFmtId="0" fontId="4" fillId="0" borderId="13" xfId="7" applyBorder="1" applyAlignment="1" applyProtection="1">
      <alignment horizontal="center"/>
      <protection hidden="1"/>
    </xf>
    <xf numFmtId="0" fontId="4" fillId="0" borderId="147" xfId="7" applyBorder="1" applyAlignment="1" applyProtection="1">
      <alignment horizontal="center"/>
      <protection hidden="1"/>
    </xf>
    <xf numFmtId="0" fontId="4" fillId="0" borderId="11" xfId="7" applyBorder="1" applyAlignment="1" applyProtection="1">
      <alignment horizontal="center"/>
      <protection hidden="1"/>
    </xf>
    <xf numFmtId="0" fontId="4" fillId="0" borderId="132" xfId="7" applyBorder="1" applyAlignment="1" applyProtection="1">
      <alignment horizontal="center"/>
      <protection hidden="1"/>
    </xf>
    <xf numFmtId="0" fontId="4" fillId="0" borderId="148" xfId="7" applyBorder="1" applyAlignment="1" applyProtection="1">
      <alignment horizontal="center"/>
      <protection hidden="1"/>
    </xf>
    <xf numFmtId="0" fontId="4" fillId="0" borderId="12" xfId="7" applyBorder="1" applyAlignment="1" applyProtection="1">
      <alignment horizontal="center"/>
      <protection hidden="1"/>
    </xf>
    <xf numFmtId="0" fontId="4" fillId="0" borderId="149" xfId="7" applyBorder="1" applyAlignment="1" applyProtection="1">
      <alignment horizontal="center"/>
      <protection hidden="1"/>
    </xf>
    <xf numFmtId="0" fontId="43" fillId="0" borderId="0" xfId="7" applyFont="1" applyAlignment="1" applyProtection="1">
      <alignment horizontal="left"/>
      <protection hidden="1"/>
    </xf>
    <xf numFmtId="0" fontId="43" fillId="0" borderId="0" xfId="7" applyFont="1" applyAlignment="1" applyProtection="1">
      <alignment horizontal="right"/>
      <protection hidden="1"/>
    </xf>
    <xf numFmtId="0" fontId="43" fillId="0" borderId="0" xfId="7" applyFont="1" applyAlignment="1" applyProtection="1">
      <alignment horizontal="right" vertical="center"/>
      <protection hidden="1"/>
    </xf>
    <xf numFmtId="0" fontId="16" fillId="2" borderId="0" xfId="2" applyFont="1" applyFill="1"/>
    <xf numFmtId="0" fontId="33" fillId="25" borderId="64" xfId="7" applyFont="1" applyFill="1" applyBorder="1" applyAlignment="1">
      <alignment horizontal="left" vertical="center"/>
    </xf>
    <xf numFmtId="0" fontId="64" fillId="26" borderId="0" xfId="7" applyFont="1" applyFill="1" applyAlignment="1">
      <alignment horizontal="left"/>
    </xf>
    <xf numFmtId="2" fontId="0" fillId="2" borderId="0" xfId="0" applyNumberFormat="1" applyFill="1" applyAlignment="1">
      <alignment horizontal="center"/>
    </xf>
    <xf numFmtId="1" fontId="0" fillId="2" borderId="0" xfId="0" applyNumberFormat="1" applyFill="1" applyAlignment="1">
      <alignment horizontal="center"/>
    </xf>
    <xf numFmtId="16" fontId="7" fillId="2" borderId="4" xfId="2" applyNumberFormat="1" applyFont="1" applyFill="1" applyBorder="1" applyAlignment="1">
      <alignment horizontal="right"/>
    </xf>
    <xf numFmtId="0" fontId="7" fillId="2" borderId="5" xfId="2" applyFont="1" applyFill="1" applyBorder="1"/>
    <xf numFmtId="0" fontId="7" fillId="2" borderId="4" xfId="2" applyFont="1" applyFill="1" applyBorder="1"/>
    <xf numFmtId="0" fontId="7" fillId="0" borderId="4" xfId="4" applyFont="1" applyBorder="1"/>
    <xf numFmtId="0" fontId="3" fillId="0" borderId="4" xfId="4" applyFont="1" applyBorder="1"/>
    <xf numFmtId="0" fontId="30" fillId="2" borderId="0" xfId="0" applyFont="1" applyFill="1"/>
    <xf numFmtId="166" fontId="6" fillId="0" borderId="17" xfId="3" applyNumberFormat="1" applyFont="1" applyBorder="1" applyAlignment="1">
      <alignment vertical="center"/>
    </xf>
    <xf numFmtId="0" fontId="36" fillId="0" borderId="6" xfId="1" applyFont="1" applyBorder="1" applyAlignment="1">
      <alignment vertical="center"/>
    </xf>
    <xf numFmtId="0" fontId="36" fillId="0" borderId="15" xfId="1" applyFont="1" applyBorder="1" applyAlignment="1">
      <alignment vertical="center"/>
    </xf>
    <xf numFmtId="0" fontId="36" fillId="0" borderId="2" xfId="1" applyFont="1" applyBorder="1" applyAlignment="1">
      <alignment vertical="center"/>
    </xf>
    <xf numFmtId="0" fontId="36" fillId="0" borderId="16" xfId="1" applyFont="1" applyBorder="1" applyAlignment="1">
      <alignment vertical="center"/>
    </xf>
    <xf numFmtId="0" fontId="36" fillId="0" borderId="17" xfId="1" applyFont="1" applyBorder="1" applyAlignment="1">
      <alignment horizontal="right" vertical="center"/>
    </xf>
    <xf numFmtId="0" fontId="36" fillId="0" borderId="52" xfId="3" applyFont="1" applyBorder="1" applyAlignment="1">
      <alignment vertical="center"/>
    </xf>
    <xf numFmtId="0" fontId="6" fillId="0" borderId="16" xfId="4" applyFont="1" applyBorder="1" applyAlignment="1">
      <alignment vertical="center"/>
    </xf>
    <xf numFmtId="0" fontId="6" fillId="0" borderId="17" xfId="4" applyFont="1" applyBorder="1" applyAlignment="1">
      <alignment vertical="center"/>
    </xf>
    <xf numFmtId="0" fontId="6" fillId="0" borderId="38" xfId="4" applyFont="1" applyBorder="1" applyAlignment="1">
      <alignment vertical="center"/>
    </xf>
    <xf numFmtId="0" fontId="6" fillId="0" borderId="37" xfId="4" applyFont="1" applyBorder="1" applyAlignment="1">
      <alignment vertical="center"/>
    </xf>
    <xf numFmtId="0" fontId="6" fillId="0" borderId="20" xfId="4" applyFont="1" applyBorder="1" applyAlignment="1">
      <alignment vertical="center"/>
    </xf>
    <xf numFmtId="0" fontId="6" fillId="0" borderId="39" xfId="4" applyFont="1" applyBorder="1" applyAlignment="1">
      <alignment horizontal="center" vertical="center"/>
    </xf>
    <xf numFmtId="0" fontId="6" fillId="0" borderId="22" xfId="4" applyFont="1" applyBorder="1" applyAlignment="1">
      <alignment vertical="center"/>
    </xf>
    <xf numFmtId="0" fontId="6" fillId="0" borderId="23" xfId="4" applyFont="1" applyBorder="1" applyAlignment="1">
      <alignment vertical="center"/>
    </xf>
    <xf numFmtId="0" fontId="6" fillId="0" borderId="57" xfId="4" applyFont="1" applyBorder="1" applyAlignment="1">
      <alignment horizontal="center" vertical="center"/>
    </xf>
    <xf numFmtId="0" fontId="6" fillId="0" borderId="4" xfId="4" applyFont="1" applyBorder="1" applyAlignment="1">
      <alignment vertical="center"/>
    </xf>
    <xf numFmtId="0" fontId="6" fillId="0" borderId="0" xfId="4" applyFont="1" applyAlignment="1">
      <alignment vertical="center"/>
    </xf>
    <xf numFmtId="0" fontId="6" fillId="0" borderId="4" xfId="4" applyFont="1" applyBorder="1"/>
    <xf numFmtId="0" fontId="6" fillId="0" borderId="0" xfId="4" applyFont="1"/>
    <xf numFmtId="0" fontId="6" fillId="0" borderId="0" xfId="4" applyFont="1" applyAlignment="1">
      <alignment horizontal="center"/>
    </xf>
    <xf numFmtId="0" fontId="6" fillId="0" borderId="5" xfId="4" applyFont="1" applyBorder="1" applyAlignment="1">
      <alignment horizontal="center"/>
    </xf>
    <xf numFmtId="0" fontId="6" fillId="0" borderId="5" xfId="4" applyFont="1" applyBorder="1"/>
    <xf numFmtId="0" fontId="36" fillId="0" borderId="0" xfId="4" applyFont="1" applyAlignment="1">
      <alignment horizontal="centerContinuous"/>
    </xf>
    <xf numFmtId="0" fontId="36" fillId="0" borderId="5" xfId="4" applyFont="1" applyBorder="1" applyAlignment="1">
      <alignment horizontal="centerContinuous"/>
    </xf>
    <xf numFmtId="0" fontId="36" fillId="0" borderId="16" xfId="4" applyFont="1" applyBorder="1" applyAlignment="1">
      <alignment vertical="center"/>
    </xf>
    <xf numFmtId="0" fontId="6" fillId="0" borderId="18" xfId="4" applyFont="1" applyBorder="1" applyAlignment="1">
      <alignment vertical="center"/>
    </xf>
    <xf numFmtId="0" fontId="6" fillId="0" borderId="0" xfId="4" applyFont="1" applyAlignment="1">
      <alignment horizontal="left" vertical="top"/>
    </xf>
    <xf numFmtId="0" fontId="6" fillId="0" borderId="5" xfId="4" applyFont="1" applyBorder="1" applyAlignment="1">
      <alignment horizontal="left" vertical="top"/>
    </xf>
    <xf numFmtId="0" fontId="36" fillId="0" borderId="37" xfId="4" applyFont="1" applyBorder="1" applyAlignment="1">
      <alignment vertical="center"/>
    </xf>
    <xf numFmtId="0" fontId="6" fillId="0" borderId="21" xfId="4" applyFont="1" applyBorder="1" applyAlignment="1">
      <alignment vertical="center"/>
    </xf>
    <xf numFmtId="0" fontId="36" fillId="0" borderId="22" xfId="4" applyFont="1" applyBorder="1" applyAlignment="1">
      <alignment vertical="center"/>
    </xf>
    <xf numFmtId="0" fontId="6" fillId="0" borderId="24" xfId="4" applyFont="1" applyBorder="1" applyAlignment="1">
      <alignment vertical="center"/>
    </xf>
    <xf numFmtId="0" fontId="45" fillId="0" borderId="0" xfId="4" applyFont="1"/>
    <xf numFmtId="0" fontId="6" fillId="0" borderId="20" xfId="4" applyFont="1" applyBorder="1" applyAlignment="1">
      <alignment horizontal="left" vertical="center"/>
    </xf>
    <xf numFmtId="0" fontId="36" fillId="0" borderId="20" xfId="4" applyFont="1" applyBorder="1" applyAlignment="1">
      <alignment vertical="center"/>
    </xf>
    <xf numFmtId="0" fontId="6" fillId="0" borderId="21" xfId="1" applyFont="1" applyBorder="1" applyAlignment="1">
      <alignment vertical="center"/>
    </xf>
    <xf numFmtId="2" fontId="6" fillId="0" borderId="20" xfId="4" applyNumberFormat="1" applyFont="1" applyBorder="1" applyAlignment="1">
      <alignment vertical="center"/>
    </xf>
    <xf numFmtId="0" fontId="6" fillId="0" borderId="34" xfId="4" applyFont="1" applyBorder="1" applyAlignment="1">
      <alignment vertical="center"/>
    </xf>
    <xf numFmtId="0" fontId="36" fillId="0" borderId="14" xfId="1" applyFont="1" applyBorder="1" applyAlignment="1">
      <alignment vertical="center"/>
    </xf>
    <xf numFmtId="0" fontId="36" fillId="0" borderId="3" xfId="1" applyFont="1" applyBorder="1" applyAlignment="1">
      <alignment vertical="center"/>
    </xf>
    <xf numFmtId="0" fontId="36" fillId="0" borderId="4" xfId="1" applyFont="1" applyBorder="1" applyAlignment="1">
      <alignment vertical="center"/>
    </xf>
    <xf numFmtId="0" fontId="36" fillId="0" borderId="5" xfId="1" applyFont="1" applyBorder="1" applyAlignment="1">
      <alignment vertical="center"/>
    </xf>
    <xf numFmtId="0" fontId="36" fillId="0" borderId="7" xfId="1" applyFont="1" applyBorder="1" applyAlignment="1">
      <alignment vertical="center"/>
    </xf>
    <xf numFmtId="0" fontId="36" fillId="0" borderId="52" xfId="4" applyFont="1" applyBorder="1" applyAlignment="1">
      <alignment horizontal="left" vertical="center"/>
    </xf>
    <xf numFmtId="0" fontId="36" fillId="0" borderId="19" xfId="1" applyFont="1" applyBorder="1" applyAlignment="1">
      <alignment vertical="center"/>
    </xf>
    <xf numFmtId="0" fontId="79" fillId="0" borderId="0" xfId="0" applyFont="1"/>
    <xf numFmtId="0" fontId="79" fillId="0" borderId="15" xfId="0" applyFont="1" applyBorder="1"/>
    <xf numFmtId="0" fontId="6" fillId="2" borderId="0" xfId="2" applyFont="1" applyFill="1"/>
    <xf numFmtId="0" fontId="79" fillId="0" borderId="7" xfId="0" applyFont="1" applyBorder="1"/>
    <xf numFmtId="168" fontId="6" fillId="0" borderId="39" xfId="0" applyNumberFormat="1" applyFont="1" applyBorder="1" applyAlignment="1">
      <alignment horizontal="center"/>
    </xf>
    <xf numFmtId="1" fontId="79" fillId="0" borderId="20" xfId="0" applyNumberFormat="1" applyFont="1" applyBorder="1"/>
    <xf numFmtId="0" fontId="79" fillId="0" borderId="17" xfId="0" applyFont="1" applyBorder="1"/>
    <xf numFmtId="0" fontId="79" fillId="0" borderId="18" xfId="0" applyFont="1" applyBorder="1"/>
    <xf numFmtId="1" fontId="79" fillId="0" borderId="21" xfId="0" applyNumberFormat="1" applyFont="1" applyBorder="1"/>
    <xf numFmtId="0" fontId="85" fillId="0" borderId="20" xfId="7" applyFont="1" applyBorder="1" applyAlignment="1">
      <alignment vertical="center"/>
    </xf>
    <xf numFmtId="0" fontId="85" fillId="0" borderId="21" xfId="7" applyFont="1" applyBorder="1" applyAlignment="1">
      <alignment vertical="center"/>
    </xf>
    <xf numFmtId="0" fontId="76" fillId="0" borderId="38" xfId="0" applyFont="1" applyBorder="1" applyAlignment="1">
      <alignment horizontal="center" vertical="center"/>
    </xf>
    <xf numFmtId="0" fontId="79" fillId="0" borderId="17" xfId="0" applyFont="1" applyBorder="1" applyAlignment="1">
      <alignment vertical="center"/>
    </xf>
    <xf numFmtId="0" fontId="79" fillId="0" borderId="18" xfId="0" applyFont="1" applyBorder="1" applyAlignment="1">
      <alignment vertical="center"/>
    </xf>
    <xf numFmtId="0" fontId="85" fillId="0" borderId="20" xfId="7" applyFont="1" applyBorder="1" applyAlignment="1">
      <alignment horizontal="left" vertical="center"/>
    </xf>
    <xf numFmtId="0" fontId="85" fillId="0" borderId="21" xfId="7" applyFont="1" applyBorder="1" applyAlignment="1">
      <alignment horizontal="left" vertical="center"/>
    </xf>
    <xf numFmtId="169" fontId="6" fillId="0" borderId="39" xfId="7" applyNumberFormat="1" applyFont="1" applyBorder="1" applyAlignment="1">
      <alignment horizontal="center" vertical="center"/>
    </xf>
    <xf numFmtId="169" fontId="6" fillId="0" borderId="39" xfId="7" applyNumberFormat="1" applyFont="1" applyBorder="1" applyAlignment="1" applyProtection="1">
      <alignment horizontal="center" vertical="center"/>
      <protection locked="0"/>
    </xf>
    <xf numFmtId="0" fontId="85" fillId="0" borderId="0" xfId="7" applyFont="1" applyAlignment="1">
      <alignment horizontal="left" vertical="center"/>
    </xf>
    <xf numFmtId="0" fontId="85" fillId="0" borderId="5" xfId="7" applyFont="1" applyBorder="1" applyAlignment="1">
      <alignment horizontal="left" vertical="center"/>
    </xf>
    <xf numFmtId="0" fontId="85" fillId="0" borderId="46" xfId="7" applyFont="1" applyBorder="1" applyAlignment="1">
      <alignment vertical="center"/>
    </xf>
    <xf numFmtId="0" fontId="85" fillId="0" borderId="69" xfId="7" applyFont="1" applyBorder="1" applyAlignment="1">
      <alignment vertical="center"/>
    </xf>
    <xf numFmtId="0" fontId="85" fillId="0" borderId="79" xfId="7" applyFont="1" applyBorder="1" applyAlignment="1">
      <alignment vertical="center"/>
    </xf>
    <xf numFmtId="0" fontId="85" fillId="0" borderId="81" xfId="7" applyFont="1" applyBorder="1" applyAlignment="1">
      <alignment vertical="center"/>
    </xf>
    <xf numFmtId="169" fontId="6" fillId="0" borderId="13" xfId="7" applyNumberFormat="1" applyFont="1" applyBorder="1" applyAlignment="1" applyProtection="1">
      <alignment horizontal="center" vertical="center"/>
      <protection hidden="1"/>
    </xf>
    <xf numFmtId="169" fontId="6" fillId="0" borderId="121" xfId="7" applyNumberFormat="1" applyFont="1" applyBorder="1" applyAlignment="1" applyProtection="1">
      <alignment horizontal="center" vertical="center"/>
      <protection locked="0"/>
    </xf>
    <xf numFmtId="2" fontId="6" fillId="0" borderId="47" xfId="7" applyNumberFormat="1" applyFont="1" applyBorder="1" applyAlignment="1">
      <alignment horizontal="center" vertical="center"/>
    </xf>
    <xf numFmtId="168" fontId="6" fillId="0" borderId="38" xfId="0" applyNumberFormat="1" applyFont="1" applyBorder="1" applyAlignment="1">
      <alignment horizontal="center"/>
    </xf>
    <xf numFmtId="169" fontId="6" fillId="0" borderId="12" xfId="0" applyNumberFormat="1" applyFont="1" applyBorder="1" applyAlignment="1">
      <alignment horizontal="center"/>
    </xf>
    <xf numFmtId="0" fontId="79" fillId="0" borderId="20" xfId="0" applyFont="1" applyBorder="1"/>
    <xf numFmtId="0" fontId="79" fillId="0" borderId="21" xfId="0" applyFont="1" applyBorder="1"/>
    <xf numFmtId="169" fontId="76" fillId="0" borderId="39" xfId="0" applyNumberFormat="1" applyFont="1" applyBorder="1" applyAlignment="1">
      <alignment horizontal="center"/>
    </xf>
    <xf numFmtId="169" fontId="6" fillId="6" borderId="20" xfId="17" applyNumberFormat="1" applyFont="1" applyFill="1" applyBorder="1" applyAlignment="1" applyProtection="1">
      <alignment vertical="center"/>
      <protection locked="0"/>
    </xf>
    <xf numFmtId="169" fontId="6" fillId="6" borderId="21" xfId="17" applyNumberFormat="1" applyFont="1" applyFill="1" applyBorder="1" applyAlignment="1" applyProtection="1">
      <alignment vertical="center"/>
      <protection locked="0"/>
    </xf>
    <xf numFmtId="0" fontId="79" fillId="0" borderId="1" xfId="0" applyFont="1" applyBorder="1" applyAlignment="1">
      <alignment horizontal="center" vertical="center"/>
    </xf>
    <xf numFmtId="0" fontId="79" fillId="0" borderId="25" xfId="0" applyFont="1" applyBorder="1" applyAlignment="1">
      <alignment horizontal="center" vertical="center"/>
    </xf>
    <xf numFmtId="169" fontId="79" fillId="0" borderId="26" xfId="0" applyNumberFormat="1" applyFont="1" applyBorder="1" applyAlignment="1">
      <alignment horizontal="center" vertical="center"/>
    </xf>
    <xf numFmtId="0" fontId="79" fillId="0" borderId="35" xfId="0" applyFont="1" applyBorder="1" applyAlignment="1">
      <alignment horizontal="center" vertical="center"/>
    </xf>
    <xf numFmtId="169" fontId="79" fillId="0" borderId="36" xfId="0" applyNumberFormat="1" applyFont="1" applyBorder="1" applyAlignment="1">
      <alignment horizontal="center" vertical="center"/>
    </xf>
    <xf numFmtId="0" fontId="79" fillId="0" borderId="27" xfId="0" applyFont="1" applyBorder="1" applyAlignment="1">
      <alignment horizontal="center" vertical="center"/>
    </xf>
    <xf numFmtId="169" fontId="79" fillId="0" borderId="28" xfId="0" applyNumberFormat="1" applyFont="1" applyBorder="1" applyAlignment="1">
      <alignment horizontal="center" vertical="center"/>
    </xf>
    <xf numFmtId="0" fontId="79" fillId="0" borderId="1" xfId="0" applyFont="1" applyBorder="1" applyAlignment="1">
      <alignment horizontal="right" vertical="center"/>
    </xf>
    <xf numFmtId="0" fontId="6" fillId="2" borderId="159" xfId="2" applyFont="1" applyFill="1" applyBorder="1"/>
    <xf numFmtId="168" fontId="6" fillId="2" borderId="160" xfId="2" applyNumberFormat="1" applyFont="1" applyFill="1" applyBorder="1"/>
    <xf numFmtId="0" fontId="6" fillId="2" borderId="161" xfId="2" applyFont="1" applyFill="1" applyBorder="1"/>
    <xf numFmtId="169" fontId="6" fillId="6" borderId="162" xfId="2" applyNumberFormat="1" applyFont="1" applyFill="1" applyBorder="1"/>
    <xf numFmtId="0" fontId="6" fillId="2" borderId="163" xfId="2" applyFont="1" applyFill="1" applyBorder="1"/>
    <xf numFmtId="0" fontId="6" fillId="6" borderId="164" xfId="2" applyFont="1" applyFill="1" applyBorder="1"/>
    <xf numFmtId="0" fontId="79" fillId="0" borderId="81" xfId="0" applyFont="1" applyBorder="1"/>
    <xf numFmtId="0" fontId="88" fillId="0" borderId="79" xfId="0" applyFont="1" applyBorder="1" applyAlignment="1">
      <alignment horizontal="center"/>
    </xf>
    <xf numFmtId="0" fontId="79" fillId="0" borderId="161" xfId="0" applyFont="1" applyBorder="1"/>
    <xf numFmtId="169" fontId="79" fillId="0" borderId="162" xfId="0" applyNumberFormat="1" applyFont="1" applyBorder="1"/>
    <xf numFmtId="2" fontId="36" fillId="0" borderId="122" xfId="24" applyNumberFormat="1" applyFont="1" applyBorder="1" applyAlignment="1">
      <alignment horizontal="center"/>
    </xf>
    <xf numFmtId="2" fontId="36" fillId="0" borderId="41" xfId="24" applyNumberFormat="1" applyFont="1" applyBorder="1" applyAlignment="1">
      <alignment horizontal="center"/>
    </xf>
    <xf numFmtId="0" fontId="79" fillId="0" borderId="65" xfId="0" applyFont="1" applyBorder="1"/>
    <xf numFmtId="0" fontId="79" fillId="0" borderId="0" xfId="0" applyFont="1" applyAlignment="1">
      <alignment horizontal="right"/>
    </xf>
    <xf numFmtId="167" fontId="79" fillId="0" borderId="0" xfId="0" applyNumberFormat="1" applyFont="1" applyAlignment="1">
      <alignment horizontal="left"/>
    </xf>
    <xf numFmtId="0" fontId="79" fillId="0" borderId="2" xfId="0" applyFont="1" applyBorder="1"/>
    <xf numFmtId="0" fontId="79" fillId="0" borderId="4" xfId="0" applyFont="1" applyBorder="1"/>
    <xf numFmtId="0" fontId="79" fillId="0" borderId="45" xfId="0" applyFont="1" applyBorder="1"/>
    <xf numFmtId="0" fontId="79" fillId="0" borderId="6" xfId="0" applyFont="1" applyBorder="1"/>
    <xf numFmtId="0" fontId="79" fillId="0" borderId="2" xfId="0" applyFont="1" applyBorder="1" applyAlignment="1">
      <alignment horizontal="center" vertical="center"/>
    </xf>
    <xf numFmtId="167" fontId="79" fillId="0" borderId="14" xfId="0" applyNumberFormat="1" applyFont="1" applyBorder="1" applyAlignment="1">
      <alignment horizontal="center" vertical="center"/>
    </xf>
    <xf numFmtId="0" fontId="79" fillId="0" borderId="3" xfId="0" applyFont="1" applyBorder="1" applyAlignment="1">
      <alignment horizontal="center" vertical="center"/>
    </xf>
    <xf numFmtId="169" fontId="79" fillId="0" borderId="1" xfId="0" applyNumberFormat="1" applyFont="1" applyBorder="1"/>
    <xf numFmtId="0" fontId="79" fillId="0" borderId="1" xfId="0" applyFont="1" applyBorder="1"/>
    <xf numFmtId="0" fontId="6" fillId="2" borderId="1" xfId="1" applyFont="1" applyFill="1" applyBorder="1" applyAlignment="1">
      <alignment horizontal="center" vertical="center"/>
    </xf>
    <xf numFmtId="0" fontId="6" fillId="7" borderId="1" xfId="1" applyFont="1" applyFill="1" applyBorder="1" applyAlignment="1">
      <alignment horizontal="center"/>
    </xf>
    <xf numFmtId="0" fontId="80" fillId="0" borderId="0" xfId="1" applyFont="1" applyAlignment="1">
      <alignment horizontal="center"/>
    </xf>
    <xf numFmtId="0" fontId="79" fillId="0" borderId="6" xfId="0" applyFont="1" applyBorder="1" applyAlignment="1">
      <alignment horizontal="center" vertical="center"/>
    </xf>
    <xf numFmtId="167" fontId="79" fillId="0" borderId="15" xfId="0" applyNumberFormat="1" applyFont="1" applyBorder="1" applyAlignment="1">
      <alignment horizontal="center" vertical="center"/>
    </xf>
    <xf numFmtId="0" fontId="79" fillId="0" borderId="7" xfId="0" applyFont="1" applyBorder="1" applyAlignment="1">
      <alignment horizontal="center" vertical="center"/>
    </xf>
    <xf numFmtId="167" fontId="6" fillId="2" borderId="1" xfId="8" applyNumberFormat="1" applyFont="1" applyFill="1" applyBorder="1" applyAlignment="1" applyProtection="1">
      <alignment horizontal="center"/>
    </xf>
    <xf numFmtId="2" fontId="89" fillId="8" borderId="1" xfId="1" applyNumberFormat="1" applyFont="1" applyFill="1" applyBorder="1" applyAlignment="1" applyProtection="1">
      <alignment horizontal="center"/>
      <protection locked="0"/>
    </xf>
    <xf numFmtId="2" fontId="6" fillId="7" borderId="1" xfId="1" applyNumberFormat="1" applyFont="1" applyFill="1" applyBorder="1" applyAlignment="1">
      <alignment horizontal="center"/>
    </xf>
    <xf numFmtId="0" fontId="80" fillId="0" borderId="1" xfId="1" applyFont="1" applyBorder="1" applyAlignment="1">
      <alignment horizontal="center"/>
    </xf>
    <xf numFmtId="2" fontId="80" fillId="0" borderId="1" xfId="1" applyNumberFormat="1" applyFont="1" applyBorder="1" applyAlignment="1">
      <alignment horizontal="center"/>
    </xf>
    <xf numFmtId="167" fontId="6" fillId="2" borderId="1" xfId="2" applyNumberFormat="1" applyFont="1" applyFill="1" applyBorder="1" applyAlignment="1">
      <alignment horizontal="center"/>
    </xf>
    <xf numFmtId="0" fontId="83" fillId="9" borderId="1" xfId="1" applyFont="1" applyFill="1" applyBorder="1" applyAlignment="1">
      <alignment horizontal="center"/>
    </xf>
    <xf numFmtId="2" fontId="83" fillId="10" borderId="1" xfId="1" applyNumberFormat="1" applyFont="1" applyFill="1" applyBorder="1" applyAlignment="1">
      <alignment horizontal="center"/>
    </xf>
    <xf numFmtId="1" fontId="6" fillId="2" borderId="1" xfId="2" applyNumberFormat="1" applyFont="1" applyFill="1" applyBorder="1" applyAlignment="1">
      <alignment horizontal="center" vertical="center"/>
    </xf>
    <xf numFmtId="0" fontId="90" fillId="0" borderId="1" xfId="0" applyFont="1" applyBorder="1" applyAlignment="1">
      <alignment horizontal="center"/>
    </xf>
    <xf numFmtId="1" fontId="79" fillId="0" borderId="1" xfId="0" applyNumberFormat="1" applyFont="1" applyBorder="1" applyAlignment="1">
      <alignment horizontal="center" vertical="center"/>
    </xf>
    <xf numFmtId="167" fontId="79" fillId="0" borderId="1" xfId="0" applyNumberFormat="1" applyFont="1" applyBorder="1" applyAlignment="1">
      <alignment horizontal="center"/>
    </xf>
    <xf numFmtId="2" fontId="6" fillId="0" borderId="1" xfId="0" applyNumberFormat="1" applyFont="1" applyBorder="1" applyAlignment="1">
      <alignment horizontal="center"/>
    </xf>
    <xf numFmtId="0" fontId="80" fillId="0" borderId="1" xfId="1" applyFont="1" applyBorder="1" applyAlignment="1">
      <alignment horizontal="left"/>
    </xf>
    <xf numFmtId="0" fontId="80" fillId="0" borderId="0" xfId="1" applyFont="1"/>
    <xf numFmtId="0" fontId="6" fillId="0" borderId="0" xfId="1" applyFont="1"/>
    <xf numFmtId="0" fontId="83" fillId="11" borderId="1" xfId="1" applyFont="1" applyFill="1" applyBorder="1" applyAlignment="1">
      <alignment horizontal="left"/>
    </xf>
    <xf numFmtId="167" fontId="83" fillId="11" borderId="1" xfId="1" applyNumberFormat="1" applyFont="1" applyFill="1" applyBorder="1" applyAlignment="1">
      <alignment horizontal="center"/>
    </xf>
    <xf numFmtId="16" fontId="79" fillId="0" borderId="2" xfId="0" applyNumberFormat="1" applyFont="1" applyBorder="1" applyAlignment="1">
      <alignment horizontal="center" vertical="center"/>
    </xf>
    <xf numFmtId="0" fontId="83" fillId="0" borderId="0" xfId="1" applyFont="1"/>
    <xf numFmtId="0" fontId="80" fillId="11" borderId="1" xfId="1" applyFont="1" applyFill="1" applyBorder="1" applyAlignment="1">
      <alignment horizontal="left"/>
    </xf>
    <xf numFmtId="167" fontId="80" fillId="11" borderId="1" xfId="1" applyNumberFormat="1" applyFont="1" applyFill="1" applyBorder="1"/>
    <xf numFmtId="167" fontId="80" fillId="0" borderId="0" xfId="1" applyNumberFormat="1" applyFont="1"/>
    <xf numFmtId="2" fontId="80" fillId="0" borderId="0" xfId="1" applyNumberFormat="1" applyFont="1"/>
    <xf numFmtId="0" fontId="91" fillId="0" borderId="0" xfId="1" applyFont="1"/>
    <xf numFmtId="1" fontId="79" fillId="0" borderId="11" xfId="0" applyNumberFormat="1" applyFont="1" applyBorder="1" applyAlignment="1">
      <alignment horizontal="center" vertical="center"/>
    </xf>
    <xf numFmtId="167" fontId="79" fillId="0" borderId="11" xfId="0" applyNumberFormat="1" applyFont="1" applyBorder="1" applyAlignment="1">
      <alignment horizontal="center"/>
    </xf>
    <xf numFmtId="2" fontId="79" fillId="0" borderId="11" xfId="0" applyNumberFormat="1" applyFont="1" applyBorder="1" applyAlignment="1">
      <alignment horizontal="center"/>
    </xf>
    <xf numFmtId="2" fontId="6" fillId="0" borderId="123" xfId="24" applyNumberFormat="1" applyFont="1" applyBorder="1" applyAlignment="1">
      <alignment horizontal="center"/>
    </xf>
    <xf numFmtId="2" fontId="6" fillId="0" borderId="42" xfId="24" applyNumberFormat="1" applyFont="1" applyBorder="1" applyAlignment="1">
      <alignment horizontal="center"/>
    </xf>
    <xf numFmtId="2" fontId="6" fillId="0" borderId="1" xfId="24" applyNumberFormat="1" applyFont="1" applyBorder="1" applyAlignment="1">
      <alignment horizontal="center"/>
    </xf>
    <xf numFmtId="172" fontId="6" fillId="0" borderId="43" xfId="24" applyNumberFormat="1" applyFont="1" applyBorder="1" applyAlignment="1">
      <alignment horizontal="center"/>
    </xf>
    <xf numFmtId="2" fontId="6" fillId="0" borderId="128" xfId="24" applyNumberFormat="1" applyFont="1" applyBorder="1" applyAlignment="1">
      <alignment horizontal="center"/>
    </xf>
    <xf numFmtId="2" fontId="36" fillId="0" borderId="119" xfId="24" applyNumberFormat="1" applyFont="1" applyBorder="1" applyAlignment="1">
      <alignment horizontal="center"/>
    </xf>
    <xf numFmtId="2" fontId="6" fillId="0" borderId="119" xfId="24" applyNumberFormat="1" applyFont="1" applyBorder="1" applyAlignment="1">
      <alignment horizontal="center"/>
    </xf>
    <xf numFmtId="172" fontId="6" fillId="0" borderId="48" xfId="24" applyNumberFormat="1" applyFont="1" applyBorder="1" applyAlignment="1">
      <alignment horizontal="center"/>
    </xf>
    <xf numFmtId="1" fontId="80" fillId="11" borderId="1" xfId="1" applyNumberFormat="1" applyFont="1" applyFill="1" applyBorder="1"/>
    <xf numFmtId="0" fontId="42" fillId="0" borderId="1" xfId="0" applyFont="1" applyBorder="1" applyAlignment="1">
      <alignment horizontal="center" vertical="center"/>
    </xf>
    <xf numFmtId="0" fontId="42" fillId="0" borderId="8" xfId="0" applyFont="1" applyBorder="1" applyAlignment="1">
      <alignment horizontal="center" vertical="center"/>
    </xf>
    <xf numFmtId="0" fontId="6" fillId="2" borderId="1" xfId="2" applyFont="1" applyFill="1" applyBorder="1" applyAlignment="1">
      <alignment horizontal="center" vertical="center"/>
    </xf>
    <xf numFmtId="0" fontId="6" fillId="6" borderId="1" xfId="2" applyFont="1" applyFill="1" applyBorder="1" applyAlignment="1">
      <alignment horizontal="center" vertical="center"/>
    </xf>
    <xf numFmtId="1" fontId="6" fillId="6" borderId="1" xfId="2" applyNumberFormat="1" applyFont="1" applyFill="1" applyBorder="1" applyAlignment="1">
      <alignment horizontal="center" vertical="center"/>
    </xf>
    <xf numFmtId="0" fontId="79" fillId="0" borderId="0" xfId="0" applyFont="1" applyAlignment="1">
      <alignment horizontal="center" vertical="center"/>
    </xf>
    <xf numFmtId="0" fontId="79" fillId="0" borderId="5" xfId="0" applyFont="1" applyBorder="1" applyAlignment="1">
      <alignment horizontal="center" vertical="center"/>
    </xf>
    <xf numFmtId="167" fontId="6" fillId="2" borderId="8" xfId="2" applyNumberFormat="1" applyFont="1" applyFill="1" applyBorder="1" applyAlignment="1">
      <alignment horizontal="center" vertical="center"/>
    </xf>
    <xf numFmtId="0" fontId="6" fillId="0" borderId="1" xfId="2" applyFont="1" applyBorder="1" applyAlignment="1">
      <alignment horizontal="center" vertical="center"/>
    </xf>
    <xf numFmtId="0" fontId="6" fillId="2" borderId="8" xfId="2" applyFont="1" applyFill="1" applyBorder="1" applyAlignment="1">
      <alignment horizontal="center" vertical="center"/>
    </xf>
    <xf numFmtId="0" fontId="4" fillId="30" borderId="0" xfId="7" applyFill="1"/>
    <xf numFmtId="0" fontId="93" fillId="30" borderId="0" xfId="7" applyFont="1" applyFill="1" applyAlignment="1">
      <alignment horizontal="center"/>
    </xf>
    <xf numFmtId="0" fontId="94" fillId="30" borderId="0" xfId="7" applyFont="1" applyFill="1" applyAlignment="1">
      <alignment horizontal="right"/>
    </xf>
    <xf numFmtId="0" fontId="95" fillId="0" borderId="0" xfId="7" applyFont="1" applyAlignment="1" applyProtection="1">
      <alignment horizontal="center"/>
      <protection hidden="1"/>
    </xf>
    <xf numFmtId="0" fontId="96" fillId="30" borderId="0" xfId="7" applyFont="1" applyFill="1" applyAlignment="1">
      <alignment horizontal="center" vertical="center"/>
    </xf>
    <xf numFmtId="0" fontId="97" fillId="30" borderId="167" xfId="7" applyFont="1" applyFill="1" applyBorder="1" applyAlignment="1" applyProtection="1">
      <alignment horizontal="center" vertical="center"/>
      <protection hidden="1"/>
    </xf>
    <xf numFmtId="0" fontId="95" fillId="30" borderId="0" xfId="7" applyFont="1" applyFill="1" applyAlignment="1">
      <alignment horizontal="center"/>
    </xf>
    <xf numFmtId="0" fontId="94" fillId="30" borderId="0" xfId="7" applyFont="1" applyFill="1" applyAlignment="1">
      <alignment horizontal="center"/>
    </xf>
    <xf numFmtId="0" fontId="93" fillId="30" borderId="0" xfId="7" applyFont="1" applyFill="1" applyAlignment="1">
      <alignment horizontal="right"/>
    </xf>
    <xf numFmtId="0" fontId="98" fillId="30" borderId="0" xfId="7" applyFont="1" applyFill="1" applyAlignment="1">
      <alignment horizontal="center" vertical="center"/>
    </xf>
    <xf numFmtId="0" fontId="99" fillId="31" borderId="58" xfId="7" applyFont="1" applyFill="1" applyBorder="1" applyAlignment="1">
      <alignment horizontal="center" vertical="center" wrapText="1"/>
    </xf>
    <xf numFmtId="0" fontId="99" fillId="31" borderId="58" xfId="7" applyFont="1" applyFill="1" applyBorder="1" applyAlignment="1">
      <alignment horizontal="center" vertical="center"/>
    </xf>
    <xf numFmtId="0" fontId="35" fillId="0" borderId="168" xfId="7" applyFont="1" applyBorder="1" applyAlignment="1" applyProtection="1">
      <alignment horizontal="center" vertical="center"/>
      <protection hidden="1"/>
    </xf>
    <xf numFmtId="0" fontId="35" fillId="0" borderId="169" xfId="7" applyFont="1" applyBorder="1" applyAlignment="1" applyProtection="1">
      <alignment horizontal="center" vertical="center" wrapText="1"/>
      <protection hidden="1"/>
    </xf>
    <xf numFmtId="0" fontId="35" fillId="0" borderId="169" xfId="7" applyFont="1" applyBorder="1" applyAlignment="1" applyProtection="1">
      <alignment horizontal="center" vertical="center"/>
      <protection hidden="1"/>
    </xf>
    <xf numFmtId="0" fontId="15" fillId="0" borderId="112" xfId="7" applyFont="1" applyBorder="1" applyAlignment="1" applyProtection="1">
      <alignment horizontal="center" vertical="center"/>
      <protection hidden="1"/>
    </xf>
    <xf numFmtId="0" fontId="102" fillId="33" borderId="12" xfId="7" applyFont="1" applyFill="1" applyBorder="1" applyAlignment="1">
      <alignment horizontal="center" vertical="center"/>
    </xf>
    <xf numFmtId="0" fontId="103" fillId="33" borderId="12" xfId="7" applyFont="1" applyFill="1" applyBorder="1" applyAlignment="1">
      <alignment horizontal="left" vertical="center" wrapText="1"/>
    </xf>
    <xf numFmtId="0" fontId="27" fillId="0" borderId="123" xfId="7" applyFont="1" applyBorder="1" applyAlignment="1">
      <alignment horizontal="center" vertical="center"/>
    </xf>
    <xf numFmtId="0" fontId="27" fillId="0" borderId="122" xfId="7" applyFont="1" applyBorder="1" applyAlignment="1">
      <alignment horizontal="center" vertical="center"/>
    </xf>
    <xf numFmtId="0" fontId="4" fillId="0" borderId="122" xfId="7" applyBorder="1" applyAlignment="1">
      <alignment horizontal="center" vertical="center" wrapText="1"/>
    </xf>
    <xf numFmtId="0" fontId="4" fillId="0" borderId="41" xfId="7" applyBorder="1" applyAlignment="1">
      <alignment horizontal="center" vertical="center" wrapText="1"/>
    </xf>
    <xf numFmtId="0" fontId="102" fillId="33" borderId="1" xfId="7" applyFont="1" applyFill="1" applyBorder="1" applyAlignment="1">
      <alignment horizontal="center" vertical="center"/>
    </xf>
    <xf numFmtId="0" fontId="103" fillId="33" borderId="1" xfId="7" applyFont="1" applyFill="1" applyBorder="1" applyAlignment="1">
      <alignment horizontal="left" vertical="center" wrapText="1"/>
    </xf>
    <xf numFmtId="0" fontId="27" fillId="0" borderId="42" xfId="7" applyFont="1" applyBorder="1" applyAlignment="1">
      <alignment horizontal="center" vertical="center"/>
    </xf>
    <xf numFmtId="0" fontId="27" fillId="0" borderId="1" xfId="7" applyFont="1" applyBorder="1" applyAlignment="1">
      <alignment horizontal="center" vertical="center"/>
    </xf>
    <xf numFmtId="0" fontId="4" fillId="0" borderId="12" xfId="7" applyBorder="1" applyAlignment="1">
      <alignment horizontal="center" vertical="center" wrapText="1"/>
    </xf>
    <xf numFmtId="0" fontId="4" fillId="0" borderId="50" xfId="7" applyBorder="1" applyAlignment="1">
      <alignment horizontal="center" vertical="center" wrapText="1"/>
    </xf>
    <xf numFmtId="0" fontId="102" fillId="33" borderId="13" xfId="7" applyFont="1" applyFill="1" applyBorder="1" applyAlignment="1">
      <alignment horizontal="center" vertical="center"/>
    </xf>
    <xf numFmtId="0" fontId="104" fillId="25" borderId="1" xfId="7" applyFont="1" applyFill="1" applyBorder="1" applyAlignment="1">
      <alignment horizontal="center" vertical="center"/>
    </xf>
    <xf numFmtId="0" fontId="105" fillId="25" borderId="1" xfId="7" applyFont="1" applyFill="1" applyBorder="1" applyAlignment="1">
      <alignment horizontal="left" vertical="center" wrapText="1"/>
    </xf>
    <xf numFmtId="0" fontId="104" fillId="25" borderId="13" xfId="7" applyFont="1" applyFill="1" applyBorder="1" applyAlignment="1">
      <alignment horizontal="center" vertical="center"/>
    </xf>
    <xf numFmtId="0" fontId="105" fillId="25" borderId="1" xfId="7" applyFont="1" applyFill="1" applyBorder="1" applyAlignment="1">
      <alignment vertical="center" wrapText="1"/>
    </xf>
    <xf numFmtId="0" fontId="106" fillId="35" borderId="1" xfId="7" applyFont="1" applyFill="1" applyBorder="1" applyAlignment="1">
      <alignment horizontal="center" vertical="center"/>
    </xf>
    <xf numFmtId="0" fontId="107" fillId="35" borderId="1" xfId="7" applyFont="1" applyFill="1" applyBorder="1" applyAlignment="1">
      <alignment horizontal="left" vertical="center" wrapText="1"/>
    </xf>
    <xf numFmtId="0" fontId="107" fillId="35" borderId="180" xfId="7" applyFont="1" applyFill="1" applyBorder="1" applyAlignment="1">
      <alignment horizontal="left" vertical="center" wrapText="1"/>
    </xf>
    <xf numFmtId="0" fontId="109" fillId="30" borderId="0" xfId="7" applyFont="1" applyFill="1" applyAlignment="1">
      <alignment vertical="center"/>
    </xf>
    <xf numFmtId="0" fontId="104" fillId="36" borderId="1" xfId="7" applyFont="1" applyFill="1" applyBorder="1" applyAlignment="1">
      <alignment horizontal="center" vertical="center"/>
    </xf>
    <xf numFmtId="0" fontId="110" fillId="36" borderId="180" xfId="7" applyFont="1" applyFill="1" applyBorder="1" applyAlignment="1">
      <alignment horizontal="left" vertical="center" wrapText="1"/>
    </xf>
    <xf numFmtId="0" fontId="104" fillId="36" borderId="12" xfId="7" applyFont="1" applyFill="1" applyBorder="1" applyAlignment="1">
      <alignment horizontal="center" vertical="center"/>
    </xf>
    <xf numFmtId="0" fontId="27" fillId="0" borderId="128" xfId="7" applyFont="1" applyBorder="1" applyAlignment="1">
      <alignment horizontal="center" vertical="center"/>
    </xf>
    <xf numFmtId="0" fontId="27" fillId="0" borderId="119" xfId="7" applyFont="1" applyBorder="1" applyAlignment="1">
      <alignment horizontal="center" vertical="center"/>
    </xf>
    <xf numFmtId="0" fontId="4" fillId="0" borderId="118" xfId="7" applyBorder="1" applyAlignment="1">
      <alignment horizontal="center" vertical="center" wrapText="1"/>
    </xf>
    <xf numFmtId="0" fontId="4" fillId="0" borderId="120" xfId="7" applyBorder="1" applyAlignment="1">
      <alignment horizontal="center" vertical="center" wrapText="1"/>
    </xf>
    <xf numFmtId="0" fontId="111" fillId="30" borderId="0" xfId="7" applyFont="1" applyFill="1"/>
    <xf numFmtId="0" fontId="12" fillId="30" borderId="0" xfId="7" applyFont="1" applyFill="1" applyAlignment="1">
      <alignment horizontal="center"/>
    </xf>
    <xf numFmtId="0" fontId="11" fillId="30" borderId="0" xfId="7" applyFont="1" applyFill="1"/>
    <xf numFmtId="0" fontId="30" fillId="30" borderId="0" xfId="7" applyFont="1" applyFill="1" applyAlignment="1">
      <alignment horizontal="center"/>
    </xf>
    <xf numFmtId="0" fontId="11" fillId="0" borderId="0" xfId="7" applyFont="1"/>
    <xf numFmtId="0" fontId="93" fillId="30" borderId="0" xfId="7" applyFont="1" applyFill="1" applyAlignment="1">
      <alignment horizontal="left"/>
    </xf>
    <xf numFmtId="0" fontId="4" fillId="2" borderId="97" xfId="0" applyFont="1" applyFill="1" applyBorder="1"/>
    <xf numFmtId="0" fontId="4" fillId="2" borderId="98" xfId="0" applyFont="1" applyFill="1" applyBorder="1"/>
    <xf numFmtId="0" fontId="4" fillId="2" borderId="46" xfId="0" applyFont="1" applyFill="1" applyBorder="1"/>
    <xf numFmtId="0" fontId="4" fillId="2" borderId="69" xfId="0" applyFont="1" applyFill="1" applyBorder="1"/>
    <xf numFmtId="0" fontId="30" fillId="2" borderId="68" xfId="0" applyFont="1" applyFill="1" applyBorder="1"/>
    <xf numFmtId="2" fontId="48" fillId="8" borderId="90" xfId="0" applyNumberFormat="1" applyFont="1" applyFill="1" applyBorder="1"/>
    <xf numFmtId="0" fontId="86" fillId="2" borderId="2" xfId="0" applyFont="1" applyFill="1" applyBorder="1"/>
    <xf numFmtId="0" fontId="86" fillId="2" borderId="8" xfId="0" applyFont="1" applyFill="1" applyBorder="1"/>
    <xf numFmtId="0" fontId="0" fillId="2" borderId="10" xfId="0" applyFill="1" applyBorder="1"/>
    <xf numFmtId="0" fontId="0" fillId="2" borderId="9" xfId="0" applyFill="1" applyBorder="1"/>
    <xf numFmtId="0" fontId="86" fillId="2" borderId="12" xfId="0" applyFont="1" applyFill="1" applyBorder="1"/>
    <xf numFmtId="1" fontId="39" fillId="2" borderId="56" xfId="0" applyNumberFormat="1" applyFont="1" applyFill="1" applyBorder="1" applyAlignment="1">
      <alignment horizontal="center"/>
    </xf>
    <xf numFmtId="0" fontId="39" fillId="2" borderId="8" xfId="0" applyFont="1" applyFill="1" applyBorder="1"/>
    <xf numFmtId="2" fontId="0" fillId="2" borderId="12" xfId="0" applyNumberFormat="1" applyFill="1" applyBorder="1" applyAlignment="1">
      <alignment horizontal="center"/>
    </xf>
    <xf numFmtId="2" fontId="0" fillId="2" borderId="185" xfId="0" applyNumberFormat="1" applyFill="1" applyBorder="1" applyAlignment="1">
      <alignment horizontal="center"/>
    </xf>
    <xf numFmtId="0" fontId="0" fillId="2" borderId="103" xfId="0" applyFill="1" applyBorder="1" applyAlignment="1">
      <alignment horizontal="center"/>
    </xf>
    <xf numFmtId="0" fontId="0" fillId="2" borderId="96" xfId="0" applyFill="1" applyBorder="1" applyAlignment="1">
      <alignment horizontal="center"/>
    </xf>
    <xf numFmtId="0" fontId="65" fillId="26" borderId="0" xfId="7" applyFont="1" applyFill="1" applyAlignment="1">
      <alignment horizontal="left"/>
    </xf>
    <xf numFmtId="1" fontId="0" fillId="0" borderId="38" xfId="0" applyNumberFormat="1" applyBorder="1" applyAlignment="1">
      <alignment horizontal="left"/>
    </xf>
    <xf numFmtId="2" fontId="35" fillId="37" borderId="13" xfId="7" applyNumberFormat="1" applyFont="1" applyFill="1" applyBorder="1" applyAlignment="1" applyProtection="1">
      <alignment horizontal="right"/>
      <protection locked="0"/>
    </xf>
    <xf numFmtId="2" fontId="15" fillId="37" borderId="13" xfId="7" applyNumberFormat="1" applyFont="1" applyFill="1" applyBorder="1" applyAlignment="1" applyProtection="1">
      <alignment horizontal="right"/>
      <protection locked="0"/>
    </xf>
    <xf numFmtId="0" fontId="30" fillId="37" borderId="8" xfId="7" applyFont="1" applyFill="1" applyBorder="1" applyAlignment="1">
      <alignment horizontal="left"/>
    </xf>
    <xf numFmtId="0" fontId="30" fillId="0" borderId="6" xfId="7" applyFont="1" applyBorder="1" applyAlignment="1">
      <alignment horizontal="left"/>
    </xf>
    <xf numFmtId="2" fontId="15" fillId="17" borderId="12" xfId="7" applyNumberFormat="1" applyFont="1" applyFill="1" applyBorder="1" applyAlignment="1">
      <alignment horizontal="right"/>
    </xf>
    <xf numFmtId="2" fontId="67" fillId="8" borderId="13" xfId="7" applyNumberFormat="1" applyFont="1" applyFill="1" applyBorder="1" applyAlignment="1">
      <alignment horizontal="right"/>
    </xf>
    <xf numFmtId="2" fontId="67" fillId="37" borderId="13" xfId="7" applyNumberFormat="1" applyFont="1" applyFill="1" applyBorder="1" applyAlignment="1">
      <alignment horizontal="right"/>
    </xf>
    <xf numFmtId="2" fontId="69" fillId="37" borderId="13" xfId="7" applyNumberFormat="1" applyFont="1" applyFill="1" applyBorder="1" applyAlignment="1">
      <alignment horizontal="right"/>
    </xf>
    <xf numFmtId="2" fontId="67" fillId="8" borderId="12" xfId="7" applyNumberFormat="1" applyFont="1" applyFill="1" applyBorder="1" applyAlignment="1">
      <alignment horizontal="right"/>
    </xf>
    <xf numFmtId="2" fontId="94" fillId="38" borderId="0" xfId="7" applyNumberFormat="1" applyFont="1" applyFill="1" applyAlignment="1" applyProtection="1">
      <alignment horizontal="left"/>
      <protection locked="0"/>
    </xf>
    <xf numFmtId="2" fontId="94" fillId="38" borderId="0" xfId="7" quotePrefix="1" applyNumberFormat="1" applyFont="1" applyFill="1" applyAlignment="1" applyProtection="1">
      <alignment horizontal="left"/>
      <protection locked="0"/>
    </xf>
    <xf numFmtId="0" fontId="4" fillId="0" borderId="4" xfId="4" applyBorder="1"/>
    <xf numFmtId="0" fontId="6" fillId="2" borderId="0" xfId="0" applyFont="1" applyFill="1" applyAlignment="1">
      <alignment horizontal="center" vertical="center"/>
    </xf>
    <xf numFmtId="0" fontId="6" fillId="2" borderId="0" xfId="0" applyFont="1" applyFill="1" applyAlignment="1">
      <alignment vertical="center"/>
    </xf>
    <xf numFmtId="2" fontId="6" fillId="0" borderId="0" xfId="4" applyNumberFormat="1" applyFont="1"/>
    <xf numFmtId="0" fontId="76" fillId="0" borderId="1" xfId="4" applyFont="1" applyBorder="1" applyAlignment="1">
      <alignment horizontal="right" vertical="center"/>
    </xf>
    <xf numFmtId="0" fontId="36" fillId="0" borderId="1" xfId="4" applyFont="1" applyBorder="1" applyAlignment="1">
      <alignment horizontal="left" vertical="center"/>
    </xf>
    <xf numFmtId="167" fontId="76" fillId="0" borderId="1" xfId="4" applyNumberFormat="1" applyFont="1" applyBorder="1" applyAlignment="1">
      <alignment horizontal="right" vertical="center"/>
    </xf>
    <xf numFmtId="2" fontId="11" fillId="0" borderId="0" xfId="4" applyNumberFormat="1" applyFont="1" applyAlignment="1" applyProtection="1">
      <alignment vertical="center"/>
      <protection hidden="1"/>
    </xf>
    <xf numFmtId="0" fontId="75" fillId="0" borderId="1" xfId="0" applyFont="1" applyBorder="1" applyAlignment="1">
      <alignment horizontal="center"/>
    </xf>
    <xf numFmtId="2" fontId="75" fillId="0" borderId="1" xfId="0" applyNumberFormat="1" applyFont="1" applyBorder="1" applyAlignment="1">
      <alignment horizontal="center"/>
    </xf>
    <xf numFmtId="0" fontId="6" fillId="0" borderId="19" xfId="4" applyFont="1" applyBorder="1" applyAlignment="1">
      <alignment vertical="center"/>
    </xf>
    <xf numFmtId="0" fontId="6" fillId="0" borderId="52" xfId="4" applyFont="1" applyBorder="1" applyAlignment="1">
      <alignment vertical="center"/>
    </xf>
    <xf numFmtId="2" fontId="32" fillId="0" borderId="11" xfId="4" applyNumberFormat="1" applyFont="1" applyBorder="1"/>
    <xf numFmtId="2" fontId="32" fillId="0" borderId="13" xfId="4" applyNumberFormat="1" applyFont="1" applyBorder="1"/>
    <xf numFmtId="0" fontId="32" fillId="0" borderId="13" xfId="4" applyFont="1" applyBorder="1"/>
    <xf numFmtId="0" fontId="32" fillId="0" borderId="12" xfId="4" applyFont="1" applyBorder="1"/>
    <xf numFmtId="0" fontId="32" fillId="0" borderId="11" xfId="4" applyFont="1" applyBorder="1"/>
    <xf numFmtId="0" fontId="32" fillId="0" borderId="2" xfId="4" applyFont="1" applyBorder="1"/>
    <xf numFmtId="1" fontId="32" fillId="0" borderId="3" xfId="4" applyNumberFormat="1" applyFont="1" applyBorder="1"/>
    <xf numFmtId="0" fontId="32" fillId="0" borderId="157" xfId="4" applyFont="1" applyBorder="1"/>
    <xf numFmtId="0" fontId="45" fillId="0" borderId="4" xfId="4" applyFont="1" applyBorder="1"/>
    <xf numFmtId="0" fontId="45" fillId="0" borderId="0" xfId="4" applyFont="1" applyAlignment="1">
      <alignment horizontal="center"/>
    </xf>
    <xf numFmtId="2" fontId="45" fillId="0" borderId="4" xfId="4" applyNumberFormat="1" applyFont="1" applyBorder="1"/>
    <xf numFmtId="2" fontId="45" fillId="0" borderId="0" xfId="4" applyNumberFormat="1" applyFont="1"/>
    <xf numFmtId="0" fontId="0" fillId="0" borderId="7" xfId="0" applyBorder="1"/>
    <xf numFmtId="0" fontId="0" fillId="0" borderId="15" xfId="0" applyBorder="1"/>
    <xf numFmtId="0" fontId="0" fillId="0" borderId="18" xfId="0" applyBorder="1"/>
    <xf numFmtId="0" fontId="86" fillId="0" borderId="39" xfId="0" applyFont="1" applyBorder="1"/>
    <xf numFmtId="0" fontId="0" fillId="0" borderId="12" xfId="0" applyBorder="1"/>
    <xf numFmtId="2" fontId="31" fillId="2" borderId="190" xfId="1" applyNumberFormat="1" applyFont="1" applyFill="1" applyBorder="1" applyAlignment="1" applyProtection="1">
      <alignment horizontal="center" vertical="center"/>
      <protection locked="0"/>
    </xf>
    <xf numFmtId="2" fontId="31" fillId="2" borderId="191" xfId="1" applyNumberFormat="1" applyFont="1" applyFill="1" applyBorder="1" applyAlignment="1" applyProtection="1">
      <alignment horizontal="center" vertical="center"/>
      <protection locked="0"/>
    </xf>
    <xf numFmtId="0" fontId="4" fillId="0" borderId="5" xfId="4" applyBorder="1"/>
    <xf numFmtId="0" fontId="4" fillId="2" borderId="2" xfId="5" applyFill="1" applyBorder="1"/>
    <xf numFmtId="0" fontId="13" fillId="6" borderId="14" xfId="1" applyFont="1" applyFill="1" applyBorder="1" applyAlignment="1">
      <alignment vertical="center"/>
    </xf>
    <xf numFmtId="0" fontId="1" fillId="6" borderId="14" xfId="1" applyFill="1" applyBorder="1" applyAlignment="1">
      <alignment vertical="center"/>
    </xf>
    <xf numFmtId="169" fontId="29" fillId="6" borderId="14" xfId="1" applyNumberFormat="1" applyFont="1" applyFill="1" applyBorder="1" applyAlignment="1">
      <alignment horizontal="center" vertical="center"/>
    </xf>
    <xf numFmtId="0" fontId="4" fillId="6" borderId="14" xfId="5" applyFill="1" applyBorder="1"/>
    <xf numFmtId="0" fontId="4" fillId="6" borderId="3" xfId="5" applyFill="1" applyBorder="1"/>
    <xf numFmtId="0" fontId="4" fillId="0" borderId="4" xfId="0" applyFont="1" applyBorder="1"/>
    <xf numFmtId="0" fontId="11" fillId="0" borderId="0" xfId="4" applyFont="1" applyAlignment="1">
      <alignment horizontal="center"/>
    </xf>
    <xf numFmtId="1" fontId="4" fillId="0" borderId="4" xfId="4" applyNumberFormat="1" applyBorder="1"/>
    <xf numFmtId="0" fontId="4" fillId="0" borderId="0" xfId="0" applyFont="1"/>
    <xf numFmtId="2" fontId="4" fillId="0" borderId="4" xfId="4" applyNumberFormat="1" applyBorder="1"/>
    <xf numFmtId="2" fontId="4" fillId="0" borderId="6" xfId="4" applyNumberFormat="1" applyBorder="1"/>
    <xf numFmtId="2" fontId="4" fillId="0" borderId="15" xfId="4" applyNumberFormat="1" applyBorder="1"/>
    <xf numFmtId="0" fontId="4" fillId="0" borderId="15" xfId="4" applyBorder="1"/>
    <xf numFmtId="0" fontId="32" fillId="0" borderId="65" xfId="4" applyFont="1" applyBorder="1"/>
    <xf numFmtId="0" fontId="32" fillId="0" borderId="66" xfId="4" applyFont="1" applyBorder="1"/>
    <xf numFmtId="0" fontId="4" fillId="0" borderId="7" xfId="4" applyBorder="1"/>
    <xf numFmtId="0" fontId="80" fillId="0" borderId="12" xfId="1" applyFont="1" applyBorder="1" applyAlignment="1">
      <alignment horizontal="center"/>
    </xf>
    <xf numFmtId="0" fontId="39" fillId="2" borderId="12" xfId="0" applyFont="1" applyFill="1" applyBorder="1"/>
    <xf numFmtId="0" fontId="76" fillId="0" borderId="15" xfId="1" applyFont="1" applyBorder="1" applyAlignment="1">
      <alignment vertical="center"/>
    </xf>
    <xf numFmtId="0" fontId="27" fillId="3" borderId="14" xfId="0" applyFont="1" applyFill="1" applyBorder="1" applyAlignment="1">
      <alignment horizontal="left" vertical="center" indent="5"/>
    </xf>
    <xf numFmtId="0" fontId="0" fillId="0" borderId="14" xfId="0" applyBorder="1" applyAlignment="1">
      <alignment vertical="center"/>
    </xf>
    <xf numFmtId="0" fontId="4" fillId="3" borderId="3" xfId="0" applyFont="1" applyFill="1" applyBorder="1" applyAlignment="1">
      <alignment horizontal="right" vertical="center"/>
    </xf>
    <xf numFmtId="0" fontId="27" fillId="3" borderId="0" xfId="0" applyFont="1" applyFill="1" applyAlignment="1">
      <alignment horizontal="left" vertical="center" indent="5"/>
    </xf>
    <xf numFmtId="0" fontId="4" fillId="3" borderId="5" xfId="0" applyFont="1" applyFill="1" applyBorder="1" applyAlignment="1">
      <alignment horizontal="right" vertical="center"/>
    </xf>
    <xf numFmtId="0" fontId="0" fillId="0" borderId="15" xfId="0" applyBorder="1" applyAlignment="1">
      <alignment vertical="center"/>
    </xf>
    <xf numFmtId="15" fontId="4" fillId="3" borderId="7" xfId="0" quotePrefix="1" applyNumberFormat="1" applyFont="1" applyFill="1" applyBorder="1" applyAlignment="1">
      <alignment horizontal="right" vertical="center"/>
    </xf>
    <xf numFmtId="0" fontId="12" fillId="0" borderId="20" xfId="12" applyFont="1" applyBorder="1" applyAlignment="1">
      <alignment vertical="center"/>
    </xf>
    <xf numFmtId="0" fontId="24" fillId="3" borderId="20" xfId="25" applyFont="1" applyFill="1" applyBorder="1" applyAlignment="1">
      <alignment vertical="center" wrapText="1"/>
    </xf>
    <xf numFmtId="0" fontId="40" fillId="0" borderId="20" xfId="0" applyFont="1" applyBorder="1" applyAlignment="1">
      <alignment vertical="center" wrapText="1"/>
    </xf>
    <xf numFmtId="17" fontId="4" fillId="3" borderId="5" xfId="0" quotePrefix="1" applyNumberFormat="1" applyFont="1" applyFill="1" applyBorder="1" applyAlignment="1">
      <alignment vertical="center"/>
    </xf>
    <xf numFmtId="0" fontId="24" fillId="3" borderId="0" xfId="0" applyFont="1" applyFill="1" applyAlignment="1">
      <alignment vertical="center" wrapText="1"/>
    </xf>
    <xf numFmtId="14" fontId="24" fillId="0" borderId="0" xfId="12" applyNumberFormat="1" applyFont="1" applyAlignment="1">
      <alignment horizontal="left" vertical="center"/>
    </xf>
    <xf numFmtId="0" fontId="12" fillId="3" borderId="14" xfId="0" applyFont="1" applyFill="1" applyBorder="1" applyAlignment="1">
      <alignment horizontal="left" vertical="center"/>
    </xf>
    <xf numFmtId="0" fontId="24" fillId="3" borderId="17" xfId="0" applyFont="1" applyFill="1" applyBorder="1" applyAlignment="1">
      <alignment horizontal="left" vertical="center"/>
    </xf>
    <xf numFmtId="0" fontId="24" fillId="3" borderId="17" xfId="0" applyFont="1" applyFill="1" applyBorder="1" applyAlignment="1">
      <alignment horizontal="center" vertical="center"/>
    </xf>
    <xf numFmtId="0" fontId="40" fillId="3" borderId="17" xfId="0" applyFont="1" applyFill="1" applyBorder="1" applyAlignment="1">
      <alignment vertical="center"/>
    </xf>
    <xf numFmtId="0" fontId="24" fillId="3" borderId="14" xfId="0" applyFont="1" applyFill="1" applyBorder="1" applyAlignment="1">
      <alignment vertical="center" wrapText="1"/>
    </xf>
    <xf numFmtId="0" fontId="40" fillId="0" borderId="17" xfId="0" applyFont="1" applyBorder="1" applyAlignment="1">
      <alignment vertical="center" wrapText="1"/>
    </xf>
    <xf numFmtId="0" fontId="118" fillId="0" borderId="3" xfId="0" applyFont="1" applyBorder="1" applyAlignment="1">
      <alignment horizontal="center" vertical="center"/>
    </xf>
    <xf numFmtId="0" fontId="12" fillId="3" borderId="0" xfId="0" applyFont="1" applyFill="1" applyAlignment="1">
      <alignment horizontal="left" vertical="center"/>
    </xf>
    <xf numFmtId="0" fontId="4" fillId="0" borderId="20" xfId="25" applyBorder="1" applyAlignment="1">
      <alignment vertical="center" wrapText="1"/>
    </xf>
    <xf numFmtId="0" fontId="0" fillId="0" borderId="20" xfId="0" applyBorder="1" applyAlignment="1">
      <alignment vertical="center"/>
    </xf>
    <xf numFmtId="0" fontId="24" fillId="3" borderId="20" xfId="0" applyFont="1" applyFill="1" applyBorder="1" applyAlignment="1">
      <alignment horizontal="left" vertical="center"/>
    </xf>
    <xf numFmtId="0" fontId="40" fillId="3" borderId="20" xfId="0" applyFont="1" applyFill="1" applyBorder="1" applyAlignment="1">
      <alignment vertical="center"/>
    </xf>
    <xf numFmtId="0" fontId="24" fillId="3" borderId="14" xfId="0" applyFont="1" applyFill="1" applyBorder="1" applyAlignment="1">
      <alignment horizontal="left" vertical="center" indent="1"/>
    </xf>
    <xf numFmtId="0" fontId="5" fillId="0" borderId="3" xfId="1" applyFont="1" applyBorder="1" applyAlignment="1">
      <alignment vertical="center"/>
    </xf>
    <xf numFmtId="14" fontId="40" fillId="0" borderId="0" xfId="12" applyNumberFormat="1" applyFont="1" applyAlignment="1">
      <alignment horizontal="left" vertical="center"/>
    </xf>
    <xf numFmtId="0" fontId="24" fillId="3" borderId="0" xfId="0" applyFont="1" applyFill="1" applyAlignment="1">
      <alignment horizontal="left" vertical="center" indent="1"/>
    </xf>
    <xf numFmtId="0" fontId="5" fillId="0" borderId="5" xfId="1" applyFont="1" applyBorder="1" applyAlignment="1">
      <alignment vertical="center"/>
    </xf>
    <xf numFmtId="0" fontId="5" fillId="0" borderId="7" xfId="1" applyFont="1" applyBorder="1" applyAlignment="1">
      <alignment vertical="center"/>
    </xf>
    <xf numFmtId="17" fontId="4" fillId="3" borderId="0" xfId="0" quotePrefix="1" applyNumberFormat="1" applyFont="1" applyFill="1" applyAlignment="1">
      <alignment vertical="center"/>
    </xf>
    <xf numFmtId="0" fontId="24" fillId="3" borderId="0" xfId="0" applyFont="1" applyFill="1" applyAlignment="1">
      <alignment horizontal="center" vertical="center"/>
    </xf>
    <xf numFmtId="0" fontId="0" fillId="0" borderId="0" xfId="0" applyAlignment="1">
      <alignment vertical="center"/>
    </xf>
    <xf numFmtId="0" fontId="40" fillId="0" borderId="21" xfId="0" applyFont="1" applyBorder="1" applyAlignment="1">
      <alignment vertical="center" wrapText="1"/>
    </xf>
    <xf numFmtId="0" fontId="12" fillId="0" borderId="21" xfId="12" applyFont="1" applyBorder="1" applyAlignment="1">
      <alignment vertical="center"/>
    </xf>
    <xf numFmtId="14" fontId="24" fillId="0" borderId="21" xfId="12" applyNumberFormat="1" applyFont="1" applyBorder="1" applyAlignment="1">
      <alignment vertical="center"/>
    </xf>
    <xf numFmtId="0" fontId="24" fillId="3" borderId="52" xfId="0" applyFont="1" applyFill="1" applyBorder="1" applyAlignment="1">
      <alignment horizontal="left" vertical="center"/>
    </xf>
    <xf numFmtId="0" fontId="40" fillId="3" borderId="52" xfId="0" applyFont="1" applyFill="1" applyBorder="1" applyAlignment="1">
      <alignment vertical="center"/>
    </xf>
    <xf numFmtId="14" fontId="24" fillId="0" borderId="53" xfId="12" applyNumberFormat="1" applyFont="1" applyBorder="1" applyAlignment="1">
      <alignment vertical="center"/>
    </xf>
    <xf numFmtId="0" fontId="7" fillId="0" borderId="15" xfId="1" applyFont="1" applyBorder="1" applyAlignment="1">
      <alignment vertical="center"/>
    </xf>
    <xf numFmtId="0" fontId="74" fillId="0" borderId="15" xfId="1" applyFont="1" applyBorder="1" applyAlignment="1">
      <alignment vertical="center"/>
    </xf>
    <xf numFmtId="0" fontId="3" fillId="3" borderId="15" xfId="1" applyFont="1" applyFill="1" applyBorder="1" applyAlignment="1">
      <alignment horizontal="left" vertical="center"/>
    </xf>
    <xf numFmtId="0" fontId="74" fillId="3" borderId="15" xfId="1" applyFont="1" applyFill="1" applyBorder="1" applyAlignment="1">
      <alignment vertical="center"/>
    </xf>
    <xf numFmtId="0" fontId="7" fillId="3" borderId="15" xfId="1" applyFont="1" applyFill="1" applyBorder="1" applyAlignment="1">
      <alignment vertical="center"/>
    </xf>
    <xf numFmtId="165" fontId="3" fillId="0" borderId="15" xfId="1" applyNumberFormat="1" applyFont="1" applyBorder="1" applyAlignment="1">
      <alignment vertical="center"/>
    </xf>
    <xf numFmtId="0" fontId="12" fillId="3" borderId="4" xfId="0" applyFont="1" applyFill="1" applyBorder="1" applyAlignment="1">
      <alignment horizontal="left" vertical="center" indent="2"/>
    </xf>
    <xf numFmtId="0" fontId="76" fillId="0" borderId="15" xfId="4" applyFont="1" applyBorder="1" applyAlignment="1">
      <alignment vertical="center" wrapText="1"/>
    </xf>
    <xf numFmtId="0" fontId="76" fillId="0" borderId="7" xfId="4" applyFont="1" applyBorder="1" applyAlignment="1">
      <alignment vertical="center" wrapText="1"/>
    </xf>
    <xf numFmtId="0" fontId="27" fillId="3" borderId="14" xfId="0" applyFont="1" applyFill="1" applyBorder="1" applyAlignment="1">
      <alignment horizontal="left" vertical="center" indent="1"/>
    </xf>
    <xf numFmtId="0" fontId="30" fillId="3" borderId="0" xfId="0" applyFont="1" applyFill="1" applyAlignment="1">
      <alignment horizontal="left" vertical="center"/>
    </xf>
    <xf numFmtId="0" fontId="30" fillId="3" borderId="15" xfId="0" applyFont="1" applyFill="1" applyBorder="1" applyAlignment="1">
      <alignment horizontal="left" vertical="center"/>
    </xf>
    <xf numFmtId="0" fontId="0" fillId="0" borderId="2" xfId="0" applyBorder="1" applyAlignment="1">
      <alignment vertical="center"/>
    </xf>
    <xf numFmtId="0" fontId="27" fillId="3" borderId="14" xfId="0" applyFont="1" applyFill="1" applyBorder="1" applyAlignment="1">
      <alignment horizontal="left" vertical="center"/>
    </xf>
    <xf numFmtId="0" fontId="26" fillId="0" borderId="14" xfId="0" applyFont="1" applyBorder="1" applyAlignment="1">
      <alignment vertical="center"/>
    </xf>
    <xf numFmtId="0" fontId="0" fillId="0" borderId="4" xfId="0" applyBorder="1" applyAlignment="1">
      <alignment vertical="center"/>
    </xf>
    <xf numFmtId="0" fontId="27" fillId="3" borderId="0" xfId="0" applyFont="1" applyFill="1" applyAlignment="1">
      <alignment horizontal="left" vertical="center"/>
    </xf>
    <xf numFmtId="0" fontId="0" fillId="0" borderId="6" xfId="0" applyBorder="1" applyAlignment="1">
      <alignment vertical="center"/>
    </xf>
    <xf numFmtId="0" fontId="27" fillId="0" borderId="14" xfId="0" applyFont="1" applyBorder="1" applyAlignment="1">
      <alignment vertical="center"/>
    </xf>
    <xf numFmtId="0" fontId="30" fillId="3" borderId="2" xfId="25" applyFont="1" applyFill="1" applyBorder="1" applyAlignment="1">
      <alignment horizontal="left" vertical="center"/>
    </xf>
    <xf numFmtId="0" fontId="30" fillId="3" borderId="4" xfId="0" applyFont="1" applyFill="1" applyBorder="1" applyAlignment="1">
      <alignment horizontal="left" vertical="center"/>
    </xf>
    <xf numFmtId="0" fontId="30" fillId="3" borderId="6" xfId="0" applyFont="1" applyFill="1" applyBorder="1" applyAlignment="1">
      <alignment horizontal="left" vertical="center"/>
    </xf>
    <xf numFmtId="0" fontId="0" fillId="0" borderId="15" xfId="0" applyBorder="1" applyAlignment="1">
      <alignment horizontal="left" vertical="center" indent="1"/>
    </xf>
    <xf numFmtId="0" fontId="30" fillId="3" borderId="14" xfId="25" applyFont="1" applyFill="1" applyBorder="1" applyAlignment="1">
      <alignment horizontal="left" vertical="center"/>
    </xf>
    <xf numFmtId="0" fontId="12" fillId="3" borderId="2" xfId="0" applyFont="1" applyFill="1" applyBorder="1" applyAlignment="1">
      <alignment horizontal="left" vertical="center" indent="2"/>
    </xf>
    <xf numFmtId="0" fontId="70" fillId="2" borderId="20" xfId="1" applyFont="1" applyFill="1" applyBorder="1" applyAlignment="1">
      <alignment vertical="center"/>
    </xf>
    <xf numFmtId="0" fontId="70" fillId="0" borderId="0" xfId="0" applyFont="1" applyAlignment="1">
      <alignment horizontal="right"/>
    </xf>
    <xf numFmtId="1" fontId="70" fillId="2" borderId="20" xfId="1" applyNumberFormat="1" applyFont="1" applyFill="1" applyBorder="1" applyAlignment="1">
      <alignment horizontal="right" vertical="center"/>
    </xf>
    <xf numFmtId="0" fontId="4" fillId="0" borderId="14" xfId="4" applyBorder="1" applyAlignment="1">
      <alignment horizontal="center"/>
    </xf>
    <xf numFmtId="0" fontId="120" fillId="0" borderId="20" xfId="4" applyFont="1" applyBorder="1" applyAlignment="1">
      <alignment horizontal="left" vertical="center"/>
    </xf>
    <xf numFmtId="0" fontId="119" fillId="0" borderId="20" xfId="1" applyFont="1" applyBorder="1" applyAlignment="1">
      <alignment horizontal="left" vertical="center"/>
    </xf>
    <xf numFmtId="2" fontId="119" fillId="2" borderId="20" xfId="2" applyNumberFormat="1" applyFont="1" applyFill="1" applyBorder="1" applyAlignment="1">
      <alignment horizontal="left" vertical="center"/>
    </xf>
    <xf numFmtId="0" fontId="119" fillId="0" borderId="34" xfId="4" applyFont="1" applyBorder="1" applyAlignment="1">
      <alignment horizontal="left" vertical="center"/>
    </xf>
    <xf numFmtId="0" fontId="24" fillId="3" borderId="20" xfId="0" applyFont="1" applyFill="1" applyBorder="1" applyAlignment="1">
      <alignment horizontal="left" vertical="center" indent="2"/>
    </xf>
    <xf numFmtId="1" fontId="124" fillId="2" borderId="34" xfId="2" applyNumberFormat="1" applyFont="1" applyFill="1" applyBorder="1" applyAlignment="1">
      <alignment vertical="center"/>
    </xf>
    <xf numFmtId="167" fontId="124" fillId="2" borderId="34" xfId="2" applyNumberFormat="1" applyFont="1" applyFill="1" applyBorder="1" applyAlignment="1">
      <alignment horizontal="right" vertical="center"/>
    </xf>
    <xf numFmtId="169" fontId="121" fillId="6" borderId="31" xfId="1" applyNumberFormat="1" applyFont="1" applyFill="1" applyBorder="1" applyAlignment="1">
      <alignment horizontal="center" vertical="center"/>
    </xf>
    <xf numFmtId="0" fontId="26" fillId="0" borderId="0" xfId="0" applyFont="1" applyAlignment="1">
      <alignment vertical="center"/>
    </xf>
    <xf numFmtId="0" fontId="27" fillId="0" borderId="0" xfId="0" applyFont="1" applyAlignment="1">
      <alignment vertical="center"/>
    </xf>
    <xf numFmtId="0" fontId="122" fillId="0" borderId="123" xfId="0" applyFont="1" applyBorder="1" applyAlignment="1">
      <alignment vertical="center"/>
    </xf>
    <xf numFmtId="0" fontId="76" fillId="0" borderId="42" xfId="0" applyFont="1" applyBorder="1" applyAlignment="1">
      <alignment horizontal="center" vertical="center"/>
    </xf>
    <xf numFmtId="2" fontId="126" fillId="0" borderId="43" xfId="0" applyNumberFormat="1" applyFont="1" applyBorder="1" applyAlignment="1">
      <alignment horizontal="center" vertical="center"/>
    </xf>
    <xf numFmtId="0" fontId="76" fillId="0" borderId="128" xfId="0" applyFont="1" applyBorder="1" applyAlignment="1">
      <alignment horizontal="center" vertical="center"/>
    </xf>
    <xf numFmtId="0" fontId="127" fillId="0" borderId="41" xfId="0" applyFont="1" applyBorder="1" applyAlignment="1">
      <alignment vertical="center"/>
    </xf>
    <xf numFmtId="2" fontId="128" fillId="0" borderId="48" xfId="0" applyNumberFormat="1" applyFont="1" applyBorder="1" applyAlignment="1">
      <alignment horizontal="center" vertical="center"/>
    </xf>
    <xf numFmtId="0" fontId="7" fillId="0" borderId="5" xfId="4" applyFont="1" applyBorder="1" applyAlignment="1">
      <alignment horizontal="left"/>
    </xf>
    <xf numFmtId="0" fontId="119" fillId="0" borderId="20" xfId="4" applyFont="1" applyBorder="1" applyAlignment="1">
      <alignment horizontal="left" vertical="center"/>
    </xf>
    <xf numFmtId="0" fontId="24" fillId="3" borderId="20" xfId="0" applyFont="1" applyFill="1" applyBorder="1" applyAlignment="1">
      <alignment horizontal="center" vertical="center" wrapText="1"/>
    </xf>
    <xf numFmtId="0" fontId="39" fillId="0" borderId="0" xfId="4" applyFont="1"/>
    <xf numFmtId="0" fontId="27" fillId="3" borderId="0" xfId="0" applyFont="1" applyFill="1" applyAlignment="1">
      <alignment horizontal="left" vertical="center" indent="1"/>
    </xf>
    <xf numFmtId="0" fontId="27" fillId="3" borderId="0" xfId="7" applyFont="1" applyFill="1" applyAlignment="1">
      <alignment horizontal="left" vertical="center" indent="1"/>
    </xf>
    <xf numFmtId="2" fontId="82" fillId="0" borderId="1" xfId="0" applyNumberFormat="1" applyFont="1" applyBorder="1" applyAlignment="1" applyProtection="1">
      <alignment horizontal="center" vertical="center"/>
      <protection hidden="1"/>
    </xf>
    <xf numFmtId="0" fontId="36" fillId="0" borderId="8" xfId="0" applyFont="1" applyBorder="1" applyAlignment="1">
      <alignment horizontal="center"/>
    </xf>
    <xf numFmtId="0" fontId="36" fillId="0" borderId="9" xfId="0" applyFont="1" applyBorder="1" applyAlignment="1">
      <alignment horizontal="center"/>
    </xf>
    <xf numFmtId="0" fontId="0" fillId="0" borderId="195" xfId="0" applyBorder="1" applyAlignment="1">
      <alignment horizontal="center"/>
    </xf>
    <xf numFmtId="2" fontId="36" fillId="0" borderId="8" xfId="0" applyNumberFormat="1" applyFont="1" applyBorder="1" applyAlignment="1" applyProtection="1">
      <alignment vertical="center"/>
      <protection hidden="1"/>
    </xf>
    <xf numFmtId="2" fontId="36" fillId="0" borderId="9" xfId="0" applyNumberFormat="1" applyFont="1" applyBorder="1" applyAlignment="1" applyProtection="1">
      <alignment vertical="center"/>
      <protection hidden="1"/>
    </xf>
    <xf numFmtId="0" fontId="36" fillId="0" borderId="8" xfId="0" applyFont="1" applyBorder="1" applyAlignment="1" applyProtection="1">
      <alignment vertical="center"/>
      <protection hidden="1"/>
    </xf>
    <xf numFmtId="0" fontId="36" fillId="0" borderId="9" xfId="0" applyFont="1" applyBorder="1" applyAlignment="1" applyProtection="1">
      <alignment vertical="center"/>
      <protection hidden="1"/>
    </xf>
    <xf numFmtId="0" fontId="2" fillId="0" borderId="0" xfId="0" applyFont="1" applyAlignment="1">
      <alignment vertical="center"/>
    </xf>
    <xf numFmtId="0" fontId="2" fillId="0" borderId="64" xfId="0" applyFont="1" applyBorder="1" applyAlignment="1">
      <alignment vertical="center"/>
    </xf>
    <xf numFmtId="0" fontId="87" fillId="0" borderId="8" xfId="0" applyFont="1" applyBorder="1"/>
    <xf numFmtId="0" fontId="87" fillId="0" borderId="10" xfId="0" applyFont="1" applyBorder="1"/>
    <xf numFmtId="0" fontId="87" fillId="0" borderId="9" xfId="0" applyFont="1" applyBorder="1"/>
    <xf numFmtId="2" fontId="122" fillId="2" borderId="21" xfId="2" applyNumberFormat="1" applyFont="1" applyFill="1" applyBorder="1" applyAlignment="1">
      <alignment horizontal="center"/>
    </xf>
    <xf numFmtId="2" fontId="10" fillId="2" borderId="31" xfId="2" applyNumberFormat="1" applyFont="1" applyFill="1" applyBorder="1" applyAlignment="1">
      <alignment horizontal="center"/>
    </xf>
    <xf numFmtId="0" fontId="10" fillId="2" borderId="21" xfId="1" applyFont="1" applyFill="1" applyBorder="1" applyAlignment="1">
      <alignment horizontal="center"/>
    </xf>
    <xf numFmtId="1" fontId="10" fillId="2" borderId="21" xfId="2" applyNumberFormat="1" applyFont="1" applyFill="1" applyBorder="1" applyAlignment="1">
      <alignment horizontal="center" vertical="center"/>
    </xf>
    <xf numFmtId="0" fontId="0" fillId="0" borderId="15" xfId="0" applyBorder="1" applyAlignment="1">
      <alignment horizontal="center"/>
    </xf>
    <xf numFmtId="0" fontId="36" fillId="0" borderId="9" xfId="0" applyFont="1" applyBorder="1" applyAlignment="1">
      <alignment horizontal="center" vertical="center"/>
    </xf>
    <xf numFmtId="0" fontId="79" fillId="0" borderId="197" xfId="0" applyFont="1" applyBorder="1" applyAlignment="1">
      <alignment horizontal="center" vertical="center"/>
    </xf>
    <xf numFmtId="0" fontId="42" fillId="0" borderId="9" xfId="0" applyFont="1" applyBorder="1" applyAlignment="1">
      <alignment horizontal="center"/>
    </xf>
    <xf numFmtId="0" fontId="2" fillId="0" borderId="46" xfId="0" applyFont="1" applyBorder="1" applyAlignment="1">
      <alignment horizontal="center" vertical="center"/>
    </xf>
    <xf numFmtId="0" fontId="2" fillId="0" borderId="69" xfId="0" applyFont="1" applyBorder="1" applyAlignment="1">
      <alignment horizontal="center" vertical="center"/>
    </xf>
    <xf numFmtId="2" fontId="82" fillId="0" borderId="11" xfId="0" applyNumberFormat="1" applyFont="1" applyBorder="1" applyAlignment="1" applyProtection="1">
      <alignment horizontal="center" vertical="center"/>
      <protection hidden="1"/>
    </xf>
    <xf numFmtId="2" fontId="82" fillId="0" borderId="13" xfId="0" applyNumberFormat="1" applyFont="1" applyBorder="1" applyAlignment="1" applyProtection="1">
      <alignment horizontal="center" vertical="center"/>
      <protection hidden="1"/>
    </xf>
    <xf numFmtId="2" fontId="82" fillId="0" borderId="12" xfId="0" applyNumberFormat="1" applyFont="1" applyBorder="1" applyAlignment="1" applyProtection="1">
      <alignment horizontal="center" vertical="center"/>
      <protection hidden="1"/>
    </xf>
    <xf numFmtId="0" fontId="36" fillId="0" borderId="2" xfId="0" applyFont="1" applyBorder="1" applyAlignment="1" applyProtection="1">
      <alignment horizontal="center" vertical="center"/>
      <protection hidden="1"/>
    </xf>
    <xf numFmtId="0" fontId="36" fillId="0" borderId="3" xfId="0" applyFont="1" applyBorder="1" applyAlignment="1" applyProtection="1">
      <alignment horizontal="center" vertical="center"/>
      <protection hidden="1"/>
    </xf>
    <xf numFmtId="0" fontId="36" fillId="0" borderId="4" xfId="0" applyFont="1" applyBorder="1" applyAlignment="1" applyProtection="1">
      <alignment horizontal="center" vertical="center"/>
      <protection hidden="1"/>
    </xf>
    <xf numFmtId="0" fontId="36" fillId="0" borderId="5" xfId="0" applyFont="1" applyBorder="1" applyAlignment="1" applyProtection="1">
      <alignment horizontal="center" vertical="center"/>
      <protection hidden="1"/>
    </xf>
    <xf numFmtId="0" fontId="36" fillId="0" borderId="6" xfId="0" applyFont="1" applyBorder="1" applyAlignment="1" applyProtection="1">
      <alignment horizontal="center" vertical="center"/>
      <protection hidden="1"/>
    </xf>
    <xf numFmtId="0" fontId="36" fillId="0" borderId="7" xfId="0" applyFont="1" applyBorder="1" applyAlignment="1" applyProtection="1">
      <alignment horizontal="center" vertical="center"/>
      <protection hidden="1"/>
    </xf>
    <xf numFmtId="2" fontId="36" fillId="0" borderId="8" xfId="0" applyNumberFormat="1" applyFont="1" applyBorder="1" applyAlignment="1" applyProtection="1">
      <alignment horizontal="center" vertical="center"/>
      <protection hidden="1"/>
    </xf>
    <xf numFmtId="2" fontId="36" fillId="0" borderId="9" xfId="0" applyNumberFormat="1" applyFont="1" applyBorder="1" applyAlignment="1" applyProtection="1">
      <alignment horizontal="center" vertical="center"/>
      <protection hidden="1"/>
    </xf>
    <xf numFmtId="0" fontId="87" fillId="0" borderId="8" xfId="0" applyFont="1" applyBorder="1" applyAlignment="1">
      <alignment horizontal="left"/>
    </xf>
    <xf numFmtId="0" fontId="36" fillId="0" borderId="8" xfId="0" applyFont="1" applyBorder="1" applyAlignment="1">
      <alignment horizontal="left" vertical="center"/>
    </xf>
    <xf numFmtId="0" fontId="42" fillId="0" borderId="8" xfId="0" applyFont="1" applyBorder="1" applyAlignment="1">
      <alignment horizontal="left"/>
    </xf>
    <xf numFmtId="0" fontId="79" fillId="0" borderId="196" xfId="0" applyFont="1" applyBorder="1" applyAlignment="1">
      <alignment horizontal="left" vertical="center"/>
    </xf>
    <xf numFmtId="168" fontId="0" fillId="0" borderId="0" xfId="0" applyNumberFormat="1"/>
    <xf numFmtId="0" fontId="124" fillId="2" borderId="20" xfId="1" applyFont="1" applyFill="1" applyBorder="1" applyAlignment="1">
      <alignment vertical="center"/>
    </xf>
    <xf numFmtId="0" fontId="124" fillId="2" borderId="20" xfId="2" applyFont="1" applyFill="1" applyBorder="1"/>
    <xf numFmtId="2" fontId="124" fillId="2" borderId="20" xfId="2" applyNumberFormat="1" applyFont="1" applyFill="1" applyBorder="1" applyAlignment="1">
      <alignment horizontal="right"/>
    </xf>
    <xf numFmtId="0" fontId="70" fillId="2" borderId="34" xfId="2" applyFont="1" applyFill="1" applyBorder="1"/>
    <xf numFmtId="2" fontId="70" fillId="2" borderId="34" xfId="2" applyNumberFormat="1" applyFont="1" applyFill="1" applyBorder="1" applyAlignment="1">
      <alignment horizontal="right"/>
    </xf>
    <xf numFmtId="166" fontId="120" fillId="0" borderId="17" xfId="3" applyNumberFormat="1" applyFont="1" applyBorder="1" applyAlignment="1">
      <alignment vertical="center"/>
    </xf>
    <xf numFmtId="2" fontId="39" fillId="0" borderId="186" xfId="4" applyNumberFormat="1" applyFont="1" applyBorder="1"/>
    <xf numFmtId="0" fontId="87" fillId="0" borderId="10" xfId="0" applyFont="1" applyBorder="1" applyAlignment="1">
      <alignment horizontal="center"/>
    </xf>
    <xf numFmtId="0" fontId="87" fillId="0" borderId="9" xfId="0" applyFont="1" applyBorder="1" applyAlignment="1">
      <alignment horizontal="center"/>
    </xf>
    <xf numFmtId="169" fontId="76" fillId="0" borderId="1" xfId="7" applyNumberFormat="1" applyFont="1" applyBorder="1" applyAlignment="1" applyProtection="1">
      <alignment horizontal="center" vertical="center"/>
      <protection locked="0"/>
    </xf>
    <xf numFmtId="169" fontId="76" fillId="0" borderId="39" xfId="7" applyNumberFormat="1" applyFont="1" applyBorder="1" applyAlignment="1" applyProtection="1">
      <alignment horizontal="center" vertical="center"/>
      <protection locked="0"/>
    </xf>
    <xf numFmtId="169" fontId="76" fillId="6" borderId="39" xfId="17" applyNumberFormat="1" applyFont="1" applyFill="1" applyBorder="1" applyAlignment="1" applyProtection="1">
      <alignment horizontal="center" vertical="center"/>
      <protection locked="0"/>
    </xf>
    <xf numFmtId="1" fontId="6" fillId="0" borderId="20" xfId="4" applyNumberFormat="1" applyFont="1" applyBorder="1" applyAlignment="1">
      <alignment vertical="center"/>
    </xf>
    <xf numFmtId="0" fontId="120" fillId="0" borderId="20" xfId="4" applyFont="1" applyBorder="1" applyAlignment="1">
      <alignment vertical="center"/>
    </xf>
    <xf numFmtId="169" fontId="79" fillId="0" borderId="12" xfId="0" applyNumberFormat="1" applyFont="1" applyBorder="1" applyAlignment="1">
      <alignment horizontal="center"/>
    </xf>
    <xf numFmtId="14" fontId="119" fillId="0" borderId="20" xfId="12" applyNumberFormat="1" applyFont="1" applyBorder="1" applyAlignment="1">
      <alignment horizontal="left" vertical="center" indent="1"/>
    </xf>
    <xf numFmtId="0" fontId="0" fillId="0" borderId="0" xfId="0" applyAlignment="1">
      <alignment horizontal="center"/>
    </xf>
    <xf numFmtId="0" fontId="119" fillId="3" borderId="17" xfId="0" applyFont="1" applyFill="1" applyBorder="1" applyAlignment="1">
      <alignment horizontal="left" vertical="center" indent="1"/>
    </xf>
    <xf numFmtId="0" fontId="119" fillId="3" borderId="20" xfId="0" applyFont="1" applyFill="1" applyBorder="1" applyAlignment="1">
      <alignment horizontal="left" vertical="center" indent="1"/>
    </xf>
    <xf numFmtId="0" fontId="120" fillId="3" borderId="17" xfId="0" applyFont="1" applyFill="1" applyBorder="1" applyAlignment="1">
      <alignment horizontal="left" vertical="center" indent="1"/>
    </xf>
    <xf numFmtId="0" fontId="120" fillId="3" borderId="20" xfId="0" applyFont="1" applyFill="1" applyBorder="1" applyAlignment="1">
      <alignment horizontal="left" vertical="center" indent="1"/>
    </xf>
    <xf numFmtId="0" fontId="3" fillId="0" borderId="16" xfId="4" applyFont="1" applyBorder="1" applyAlignment="1">
      <alignment horizontal="left" vertical="center"/>
    </xf>
    <xf numFmtId="0" fontId="3" fillId="0" borderId="17" xfId="4" applyFont="1" applyBorder="1" applyAlignment="1">
      <alignment horizontal="left" vertical="center"/>
    </xf>
    <xf numFmtId="0" fontId="3" fillId="0" borderId="18" xfId="4" applyFont="1" applyBorder="1" applyAlignment="1">
      <alignment horizontal="left" vertical="center"/>
    </xf>
    <xf numFmtId="0" fontId="119" fillId="0" borderId="37" xfId="4" applyFont="1" applyBorder="1" applyAlignment="1">
      <alignment horizontal="left" vertical="center"/>
    </xf>
    <xf numFmtId="0" fontId="119" fillId="0" borderId="21" xfId="4" applyFont="1" applyBorder="1" applyAlignment="1">
      <alignment horizontal="left" vertical="center"/>
    </xf>
    <xf numFmtId="14" fontId="120" fillId="2" borderId="18" xfId="5" applyNumberFormat="1" applyFont="1" applyFill="1" applyBorder="1" applyAlignment="1">
      <alignment horizontal="left" vertical="center" wrapText="1"/>
    </xf>
    <xf numFmtId="14" fontId="120" fillId="2" borderId="53" xfId="5" applyNumberFormat="1" applyFont="1" applyFill="1" applyBorder="1" applyAlignment="1">
      <alignment horizontal="left" vertical="center"/>
    </xf>
    <xf numFmtId="0" fontId="85" fillId="0" borderId="0" xfId="7" applyFont="1" applyAlignment="1">
      <alignment vertical="center"/>
    </xf>
    <xf numFmtId="169" fontId="76" fillId="0" borderId="0" xfId="0" applyNumberFormat="1" applyFont="1" applyAlignment="1">
      <alignment horizontal="center"/>
    </xf>
    <xf numFmtId="169" fontId="0" fillId="0" borderId="0" xfId="0" applyNumberFormat="1" applyAlignment="1">
      <alignment horizontal="center"/>
    </xf>
    <xf numFmtId="0" fontId="36" fillId="0" borderId="52" xfId="3" applyFont="1" applyBorder="1" applyAlignment="1">
      <alignment horizontal="left" vertical="center" indent="2"/>
    </xf>
    <xf numFmtId="0" fontId="36" fillId="12" borderId="1" xfId="4" applyFont="1" applyFill="1" applyBorder="1" applyAlignment="1">
      <alignment horizontal="center" vertical="center"/>
    </xf>
    <xf numFmtId="0" fontId="36" fillId="12" borderId="8" xfId="4" applyFont="1" applyFill="1" applyBorder="1" applyAlignment="1">
      <alignment vertical="center"/>
    </xf>
    <xf numFmtId="0" fontId="36" fillId="12" borderId="10" xfId="4" applyFont="1" applyFill="1" applyBorder="1" applyAlignment="1">
      <alignment vertical="center"/>
    </xf>
    <xf numFmtId="0" fontId="6" fillId="0" borderId="0" xfId="4" applyFont="1" applyAlignment="1">
      <alignment horizontal="center" vertical="center"/>
    </xf>
    <xf numFmtId="0" fontId="6" fillId="0" borderId="5" xfId="4" applyFont="1" applyBorder="1" applyAlignment="1">
      <alignment horizontal="center" vertical="center"/>
    </xf>
    <xf numFmtId="14" fontId="42" fillId="2" borderId="17" xfId="5" applyNumberFormat="1" applyFont="1" applyFill="1" applyBorder="1" applyAlignment="1">
      <alignment horizontal="right" vertical="center"/>
    </xf>
    <xf numFmtId="14" fontId="42" fillId="2" borderId="52" xfId="5" applyNumberFormat="1" applyFont="1" applyFill="1" applyBorder="1" applyAlignment="1">
      <alignment horizontal="right" vertical="center"/>
    </xf>
    <xf numFmtId="0" fontId="119" fillId="0" borderId="22" xfId="4" applyFont="1" applyBorder="1" applyAlignment="1">
      <alignment horizontal="left" vertical="center"/>
    </xf>
    <xf numFmtId="0" fontId="119" fillId="0" borderId="37" xfId="4" applyFont="1" applyBorder="1" applyAlignment="1">
      <alignment vertical="center"/>
    </xf>
    <xf numFmtId="0" fontId="131" fillId="0" borderId="0" xfId="0" applyFont="1" applyAlignment="1">
      <alignment horizontal="center"/>
    </xf>
    <xf numFmtId="2" fontId="131" fillId="0" borderId="0" xfId="0" applyNumberFormat="1" applyFont="1" applyAlignment="1">
      <alignment horizontal="center"/>
    </xf>
    <xf numFmtId="0" fontId="2" fillId="0" borderId="46" xfId="0" applyFont="1" applyBorder="1" applyAlignment="1">
      <alignment horizontal="left" vertical="center"/>
    </xf>
    <xf numFmtId="0" fontId="0" fillId="0" borderId="79" xfId="0" applyBorder="1"/>
    <xf numFmtId="2" fontId="133" fillId="0" borderId="60" xfId="0" applyNumberFormat="1" applyFont="1" applyBorder="1" applyAlignment="1">
      <alignment horizontal="left" vertical="center"/>
    </xf>
    <xf numFmtId="0" fontId="133" fillId="0" borderId="116" xfId="0" applyFont="1" applyBorder="1"/>
    <xf numFmtId="2" fontId="133" fillId="0" borderId="114" xfId="0" applyNumberFormat="1" applyFont="1" applyBorder="1" applyAlignment="1">
      <alignment horizontal="left" vertical="center"/>
    </xf>
    <xf numFmtId="2" fontId="133" fillId="0" borderId="0" xfId="0" applyNumberFormat="1" applyFont="1" applyAlignment="1">
      <alignment horizontal="left" vertical="center"/>
    </xf>
    <xf numFmtId="0" fontId="123" fillId="3" borderId="20" xfId="25" applyFont="1" applyFill="1" applyBorder="1" applyAlignment="1">
      <alignment horizontal="left" vertical="center" wrapText="1" indent="1"/>
    </xf>
    <xf numFmtId="0" fontId="120" fillId="3" borderId="20" xfId="25" applyFont="1" applyFill="1" applyBorder="1" applyAlignment="1">
      <alignment horizontal="left" vertical="center" indent="1"/>
    </xf>
    <xf numFmtId="0" fontId="123" fillId="3" borderId="20" xfId="0" applyFont="1" applyFill="1" applyBorder="1" applyAlignment="1">
      <alignment horizontal="left" vertical="center" indent="1"/>
    </xf>
    <xf numFmtId="0" fontId="3" fillId="0" borderId="0" xfId="0" applyFont="1" applyAlignment="1">
      <alignment horizontal="center" vertical="center"/>
    </xf>
    <xf numFmtId="168" fontId="3" fillId="0" borderId="0" xfId="0" applyNumberFormat="1" applyFont="1" applyAlignment="1">
      <alignment horizontal="center" vertical="center"/>
    </xf>
    <xf numFmtId="168" fontId="3" fillId="6" borderId="0" xfId="0" applyNumberFormat="1" applyFont="1" applyFill="1" applyAlignment="1">
      <alignment horizontal="center" vertical="center"/>
    </xf>
    <xf numFmtId="168" fontId="3" fillId="39" borderId="0" xfId="0" applyNumberFormat="1" applyFont="1" applyFill="1" applyAlignment="1">
      <alignment horizontal="center" vertical="center"/>
    </xf>
    <xf numFmtId="1" fontId="3" fillId="6" borderId="0" xfId="0" applyNumberFormat="1" applyFont="1" applyFill="1" applyAlignment="1">
      <alignment horizontal="center" vertical="center"/>
    </xf>
    <xf numFmtId="4" fontId="3" fillId="0" borderId="0" xfId="0" applyNumberFormat="1" applyFont="1" applyAlignment="1">
      <alignment horizontal="center" vertical="center"/>
    </xf>
    <xf numFmtId="0" fontId="132" fillId="0" borderId="0" xfId="26" applyFont="1" applyAlignment="1">
      <alignment horizontal="center" vertical="center"/>
    </xf>
    <xf numFmtId="49" fontId="7" fillId="0" borderId="0" xfId="0" applyNumberFormat="1" applyFont="1" applyAlignment="1">
      <alignment horizontal="center" vertical="center"/>
    </xf>
    <xf numFmtId="181" fontId="7" fillId="6" borderId="0" xfId="0" applyNumberFormat="1" applyFont="1" applyFill="1" applyAlignment="1">
      <alignment horizontal="center" vertical="center"/>
    </xf>
    <xf numFmtId="14" fontId="7" fillId="0" borderId="0" xfId="0" applyNumberFormat="1" applyFont="1" applyAlignment="1">
      <alignment horizontal="center" vertical="center"/>
    </xf>
    <xf numFmtId="182" fontId="7" fillId="0" borderId="0" xfId="0" applyNumberFormat="1" applyFont="1" applyAlignment="1">
      <alignment horizontal="center" vertical="center" wrapText="1"/>
    </xf>
    <xf numFmtId="183" fontId="7" fillId="0" borderId="0" xfId="0" applyNumberFormat="1" applyFont="1" applyAlignment="1">
      <alignment horizontal="center" vertical="center" wrapText="1"/>
    </xf>
    <xf numFmtId="184" fontId="7" fillId="0" borderId="0" xfId="0" applyNumberFormat="1" applyFont="1" applyAlignment="1">
      <alignment horizontal="center" vertical="center"/>
    </xf>
    <xf numFmtId="168" fontId="7" fillId="0" borderId="0" xfId="0" applyNumberFormat="1" applyFont="1" applyAlignment="1">
      <alignment horizontal="center" vertical="center"/>
    </xf>
    <xf numFmtId="1" fontId="7" fillId="0" borderId="0" xfId="0" applyNumberFormat="1" applyFont="1" applyAlignment="1">
      <alignment horizontal="center" vertical="center"/>
    </xf>
    <xf numFmtId="0" fontId="7" fillId="0" borderId="0" xfId="0" applyFont="1" applyAlignment="1">
      <alignment horizontal="center" vertical="center"/>
    </xf>
    <xf numFmtId="169" fontId="7" fillId="0" borderId="0" xfId="0" applyNumberFormat="1" applyFont="1" applyAlignment="1">
      <alignment horizontal="center" vertical="center"/>
    </xf>
    <xf numFmtId="2" fontId="7" fillId="0" borderId="0" xfId="0" applyNumberFormat="1" applyFont="1" applyAlignment="1">
      <alignment horizontal="center" vertical="center"/>
    </xf>
    <xf numFmtId="173" fontId="7" fillId="0" borderId="0" xfId="0" applyNumberFormat="1" applyFont="1" applyAlignment="1">
      <alignment horizontal="center" vertical="center"/>
    </xf>
    <xf numFmtId="2" fontId="6" fillId="0" borderId="39" xfId="7" applyNumberFormat="1" applyFont="1" applyBorder="1" applyAlignment="1">
      <alignment horizontal="center" vertical="center"/>
    </xf>
    <xf numFmtId="0" fontId="134" fillId="41" borderId="201" xfId="0" applyFont="1" applyFill="1" applyBorder="1" applyAlignment="1">
      <alignment horizontal="center" vertical="center" wrapText="1"/>
    </xf>
    <xf numFmtId="0" fontId="134" fillId="41" borderId="205" xfId="0" applyFont="1" applyFill="1" applyBorder="1" applyAlignment="1">
      <alignment horizontal="center" vertical="center" wrapText="1"/>
    </xf>
    <xf numFmtId="168" fontId="134" fillId="41" borderId="199" xfId="0" applyNumberFormat="1" applyFont="1" applyFill="1" applyBorder="1" applyAlignment="1">
      <alignment horizontal="center" vertical="center"/>
    </xf>
    <xf numFmtId="0" fontId="134" fillId="41" borderId="211" xfId="0" applyFont="1" applyFill="1" applyBorder="1" applyAlignment="1">
      <alignment horizontal="center" vertical="center" wrapText="1"/>
    </xf>
    <xf numFmtId="167" fontId="134" fillId="41" borderId="211" xfId="0" applyNumberFormat="1" applyFont="1" applyFill="1" applyBorder="1" applyAlignment="1">
      <alignment horizontal="center" vertical="center" wrapText="1"/>
    </xf>
    <xf numFmtId="167" fontId="134" fillId="41" borderId="211" xfId="0" applyNumberFormat="1" applyFont="1" applyFill="1" applyBorder="1" applyAlignment="1">
      <alignment horizontal="center" vertical="center"/>
    </xf>
    <xf numFmtId="1" fontId="134" fillId="41" borderId="209" xfId="0" applyNumberFormat="1" applyFont="1" applyFill="1" applyBorder="1" applyAlignment="1">
      <alignment horizontal="center" vertical="center"/>
    </xf>
    <xf numFmtId="0" fontId="134" fillId="41" borderId="209" xfId="0" applyFont="1" applyFill="1" applyBorder="1" applyAlignment="1">
      <alignment horizontal="center" vertical="center"/>
    </xf>
    <xf numFmtId="4" fontId="134" fillId="41" borderId="209" xfId="0" applyNumberFormat="1" applyFont="1" applyFill="1" applyBorder="1" applyAlignment="1">
      <alignment horizontal="center" vertical="center"/>
    </xf>
    <xf numFmtId="0" fontId="135" fillId="41" borderId="209" xfId="26" applyFont="1" applyFill="1" applyBorder="1" applyAlignment="1">
      <alignment horizontal="center" vertical="center"/>
    </xf>
    <xf numFmtId="185" fontId="7" fillId="6" borderId="51" xfId="0" applyNumberFormat="1" applyFont="1" applyFill="1" applyBorder="1" applyAlignment="1">
      <alignment horizontal="center" vertical="center"/>
    </xf>
    <xf numFmtId="14" fontId="7" fillId="6" borderId="51" xfId="0" applyNumberFormat="1" applyFont="1" applyFill="1" applyBorder="1" applyAlignment="1">
      <alignment horizontal="center" vertical="center"/>
    </xf>
    <xf numFmtId="184" fontId="7" fillId="6" borderId="51" xfId="0" applyNumberFormat="1" applyFont="1" applyFill="1" applyBorder="1" applyAlignment="1">
      <alignment horizontal="center" vertical="center" wrapText="1"/>
    </xf>
    <xf numFmtId="168" fontId="7" fillId="6" borderId="39" xfId="0" applyNumberFormat="1" applyFont="1" applyFill="1" applyBorder="1" applyAlignment="1">
      <alignment horizontal="center" vertical="center"/>
    </xf>
    <xf numFmtId="168" fontId="7" fillId="6" borderId="38" xfId="0" applyNumberFormat="1" applyFont="1" applyFill="1" applyBorder="1" applyAlignment="1">
      <alignment horizontal="center" vertical="center"/>
    </xf>
    <xf numFmtId="0" fontId="7" fillId="6" borderId="38" xfId="0" applyFont="1" applyFill="1" applyBorder="1" applyAlignment="1">
      <alignment horizontal="center" vertical="center"/>
    </xf>
    <xf numFmtId="169" fontId="7" fillId="6" borderId="38" xfId="0" applyNumberFormat="1" applyFont="1" applyFill="1" applyBorder="1" applyAlignment="1">
      <alignment horizontal="center" vertical="center"/>
    </xf>
    <xf numFmtId="173" fontId="7" fillId="6" borderId="38" xfId="0" applyNumberFormat="1" applyFont="1" applyFill="1" applyBorder="1" applyAlignment="1">
      <alignment horizontal="center" vertical="center"/>
    </xf>
    <xf numFmtId="2" fontId="7" fillId="6" borderId="38" xfId="0" applyNumberFormat="1" applyFont="1" applyFill="1" applyBorder="1" applyAlignment="1">
      <alignment horizontal="center" vertical="center"/>
    </xf>
    <xf numFmtId="167" fontId="7" fillId="6" borderId="38" xfId="0" applyNumberFormat="1" applyFont="1" applyFill="1" applyBorder="1" applyAlignment="1">
      <alignment horizontal="center" vertical="center"/>
    </xf>
    <xf numFmtId="173" fontId="10" fillId="6" borderId="38" xfId="0" applyNumberFormat="1" applyFont="1" applyFill="1" applyBorder="1" applyAlignment="1">
      <alignment horizontal="center" vertical="center" wrapText="1"/>
    </xf>
    <xf numFmtId="0" fontId="5" fillId="2" borderId="30" xfId="2" applyFont="1" applyFill="1" applyBorder="1" applyAlignment="1">
      <alignment horizontal="center"/>
    </xf>
    <xf numFmtId="167" fontId="5" fillId="2" borderId="31" xfId="2" applyNumberFormat="1" applyFont="1" applyFill="1" applyBorder="1" applyAlignment="1">
      <alignment horizontal="center"/>
    </xf>
    <xf numFmtId="3" fontId="138" fillId="4" borderId="30" xfId="5" applyNumberFormat="1" applyFont="1" applyFill="1" applyBorder="1" applyAlignment="1" applyProtection="1">
      <alignment horizontal="center"/>
      <protection locked="0"/>
    </xf>
    <xf numFmtId="2" fontId="5" fillId="0" borderId="32" xfId="2" applyNumberFormat="1" applyFont="1" applyBorder="1" applyAlignment="1" applyProtection="1">
      <alignment horizontal="center"/>
      <protection hidden="1"/>
    </xf>
    <xf numFmtId="0" fontId="5" fillId="2" borderId="35" xfId="2" applyFont="1" applyFill="1" applyBorder="1" applyAlignment="1">
      <alignment horizontal="center"/>
    </xf>
    <xf numFmtId="1" fontId="5" fillId="2" borderId="21" xfId="2" applyNumberFormat="1" applyFont="1" applyFill="1" applyBorder="1" applyAlignment="1">
      <alignment horizontal="center"/>
    </xf>
    <xf numFmtId="0" fontId="5" fillId="2" borderId="20" xfId="2" applyFont="1" applyFill="1" applyBorder="1"/>
    <xf numFmtId="178" fontId="119" fillId="2" borderId="21" xfId="2" applyNumberFormat="1" applyFont="1" applyFill="1" applyBorder="1" applyAlignment="1">
      <alignment horizontal="left"/>
    </xf>
    <xf numFmtId="2" fontId="5" fillId="0" borderId="33" xfId="2" applyNumberFormat="1" applyFont="1" applyBorder="1" applyAlignment="1" applyProtection="1">
      <alignment horizontal="center"/>
      <protection hidden="1"/>
    </xf>
    <xf numFmtId="167" fontId="5" fillId="2" borderId="21" xfId="2" applyNumberFormat="1" applyFont="1" applyFill="1" applyBorder="1" applyAlignment="1">
      <alignment horizontal="center"/>
    </xf>
    <xf numFmtId="0" fontId="5" fillId="0" borderId="35" xfId="2" applyFont="1" applyBorder="1" applyAlignment="1">
      <alignment horizontal="center"/>
    </xf>
    <xf numFmtId="169" fontId="5" fillId="0" borderId="32" xfId="2" applyNumberFormat="1" applyFont="1" applyBorder="1" applyAlignment="1" applyProtection="1">
      <alignment horizontal="center"/>
      <protection hidden="1"/>
    </xf>
    <xf numFmtId="169" fontId="5" fillId="0" borderId="33" xfId="2" applyNumberFormat="1" applyFont="1" applyBorder="1" applyAlignment="1" applyProtection="1">
      <alignment horizontal="center"/>
      <protection hidden="1"/>
    </xf>
    <xf numFmtId="0" fontId="125" fillId="2" borderId="20" xfId="1" applyFont="1" applyFill="1" applyBorder="1" applyAlignment="1">
      <alignment vertical="center"/>
    </xf>
    <xf numFmtId="1" fontId="119" fillId="2" borderId="20" xfId="1" applyNumberFormat="1" applyFont="1" applyFill="1" applyBorder="1" applyAlignment="1">
      <alignment horizontal="right" vertical="center"/>
    </xf>
    <xf numFmtId="0" fontId="5" fillId="0" borderId="27" xfId="2" applyFont="1" applyBorder="1" applyAlignment="1">
      <alignment horizontal="center"/>
    </xf>
    <xf numFmtId="169" fontId="5" fillId="0" borderId="29" xfId="2" applyNumberFormat="1" applyFont="1" applyBorder="1" applyAlignment="1" applyProtection="1">
      <alignment horizontal="center"/>
      <protection hidden="1"/>
    </xf>
    <xf numFmtId="0" fontId="5" fillId="6" borderId="30" xfId="2" applyFont="1" applyFill="1" applyBorder="1" applyAlignment="1">
      <alignment horizontal="center"/>
    </xf>
    <xf numFmtId="168" fontId="138" fillId="4" borderId="30" xfId="5" applyNumberFormat="1" applyFont="1" applyFill="1" applyBorder="1" applyAlignment="1" applyProtection="1">
      <alignment horizontal="center"/>
      <protection locked="0"/>
    </xf>
    <xf numFmtId="0" fontId="119" fillId="2" borderId="20" xfId="1" applyFont="1" applyFill="1" applyBorder="1" applyAlignment="1">
      <alignment horizontal="right" vertical="center"/>
    </xf>
    <xf numFmtId="0" fontId="119" fillId="2" borderId="21" xfId="2" applyFont="1" applyFill="1" applyBorder="1" applyAlignment="1">
      <alignment horizontal="left" vertical="center"/>
    </xf>
    <xf numFmtId="0" fontId="5" fillId="6" borderId="35" xfId="2" applyFont="1" applyFill="1" applyBorder="1" applyAlignment="1">
      <alignment horizontal="center"/>
    </xf>
    <xf numFmtId="0" fontId="125" fillId="2" borderId="37" xfId="5" applyFont="1" applyFill="1" applyBorder="1" applyAlignment="1">
      <alignment horizontal="left" indent="1"/>
    </xf>
    <xf numFmtId="0" fontId="125" fillId="2" borderId="20" xfId="5" applyFont="1" applyFill="1" applyBorder="1"/>
    <xf numFmtId="169" fontId="119" fillId="2" borderId="20" xfId="5" applyNumberFormat="1" applyFont="1" applyFill="1" applyBorder="1"/>
    <xf numFmtId="0" fontId="125" fillId="2" borderId="37" xfId="2" applyFont="1" applyFill="1" applyBorder="1" applyAlignment="1">
      <alignment horizontal="left" indent="1"/>
    </xf>
    <xf numFmtId="0" fontId="125" fillId="2" borderId="20" xfId="2" applyFont="1" applyFill="1" applyBorder="1" applyAlignment="1">
      <alignment vertical="center"/>
    </xf>
    <xf numFmtId="169" fontId="119" fillId="2" borderId="20" xfId="2" applyNumberFormat="1" applyFont="1" applyFill="1" applyBorder="1" applyAlignment="1">
      <alignment vertical="center"/>
    </xf>
    <xf numFmtId="0" fontId="125" fillId="2" borderId="20" xfId="2" applyFont="1" applyFill="1" applyBorder="1"/>
    <xf numFmtId="169" fontId="119" fillId="2" borderId="20" xfId="2" applyNumberFormat="1" applyFont="1" applyFill="1" applyBorder="1"/>
    <xf numFmtId="0" fontId="140" fillId="2" borderId="20" xfId="1" applyFont="1" applyFill="1" applyBorder="1" applyAlignment="1">
      <alignment vertical="center"/>
    </xf>
    <xf numFmtId="0" fontId="139" fillId="2" borderId="21" xfId="1" applyFont="1" applyFill="1" applyBorder="1" applyAlignment="1">
      <alignment horizontal="center"/>
    </xf>
    <xf numFmtId="169" fontId="2" fillId="0" borderId="33" xfId="2" applyNumberFormat="1" applyFont="1" applyBorder="1" applyAlignment="1" applyProtection="1">
      <alignment horizontal="center"/>
      <protection hidden="1"/>
    </xf>
    <xf numFmtId="0" fontId="140" fillId="2" borderId="35" xfId="2" applyFont="1" applyFill="1" applyBorder="1" applyAlignment="1">
      <alignment horizontal="center"/>
    </xf>
    <xf numFmtId="0" fontId="5" fillId="2" borderId="24" xfId="2" applyFont="1" applyFill="1" applyBorder="1" applyAlignment="1">
      <alignment horizontal="center"/>
    </xf>
    <xf numFmtId="169" fontId="138" fillId="4" borderId="27" xfId="1" applyNumberFormat="1" applyFont="1" applyFill="1" applyBorder="1" applyAlignment="1" applyProtection="1">
      <alignment horizontal="center"/>
      <protection hidden="1"/>
    </xf>
    <xf numFmtId="1" fontId="5" fillId="0" borderId="29" xfId="2" applyNumberFormat="1" applyFont="1" applyBorder="1" applyAlignment="1" applyProtection="1">
      <alignment horizontal="center"/>
      <protection hidden="1"/>
    </xf>
    <xf numFmtId="1" fontId="5" fillId="0" borderId="28" xfId="2" applyNumberFormat="1" applyFont="1" applyBorder="1" applyAlignment="1" applyProtection="1">
      <alignment horizontal="center"/>
      <protection hidden="1"/>
    </xf>
    <xf numFmtId="0" fontId="5" fillId="2" borderId="27" xfId="5" applyFont="1" applyFill="1" applyBorder="1" applyAlignment="1">
      <alignment horizontal="center"/>
    </xf>
    <xf numFmtId="1" fontId="5" fillId="2" borderId="24" xfId="5" applyNumberFormat="1" applyFont="1" applyFill="1" applyBorder="1" applyAlignment="1">
      <alignment horizontal="center"/>
    </xf>
    <xf numFmtId="0" fontId="87" fillId="2" borderId="22" xfId="1" applyFont="1" applyFill="1" applyBorder="1" applyAlignment="1">
      <alignment horizontal="left" vertical="center" indent="1"/>
    </xf>
    <xf numFmtId="0" fontId="139" fillId="2" borderId="23" xfId="5" applyFont="1" applyFill="1" applyBorder="1"/>
    <xf numFmtId="0" fontId="139" fillId="2" borderId="24" xfId="5" applyFont="1" applyFill="1" applyBorder="1"/>
    <xf numFmtId="166" fontId="5" fillId="0" borderId="17" xfId="3" applyNumberFormat="1" applyFont="1" applyBorder="1" applyAlignment="1">
      <alignment vertical="center"/>
    </xf>
    <xf numFmtId="166" fontId="119" fillId="0" borderId="17" xfId="3" applyNumberFormat="1" applyFont="1" applyBorder="1" applyAlignment="1">
      <alignment vertical="center"/>
    </xf>
    <xf numFmtId="0" fontId="5" fillId="0" borderId="18" xfId="3" applyFont="1" applyBorder="1" applyAlignment="1">
      <alignment vertical="center"/>
    </xf>
    <xf numFmtId="0" fontId="119" fillId="0" borderId="20" xfId="3" applyFont="1" applyBorder="1" applyAlignment="1">
      <alignment vertical="center"/>
    </xf>
    <xf numFmtId="179" fontId="119" fillId="0" borderId="20" xfId="3" applyNumberFormat="1" applyFont="1" applyBorder="1" applyAlignment="1">
      <alignment vertical="center"/>
    </xf>
    <xf numFmtId="0" fontId="5" fillId="0" borderId="20" xfId="3" applyFont="1" applyBorder="1" applyAlignment="1">
      <alignment vertical="center"/>
    </xf>
    <xf numFmtId="0" fontId="2" fillId="0" borderId="20" xfId="4" applyFont="1" applyBorder="1" applyAlignment="1">
      <alignment horizontal="right" vertical="center"/>
    </xf>
    <xf numFmtId="0" fontId="2" fillId="0" borderId="193" xfId="1" applyFont="1" applyBorder="1" applyAlignment="1">
      <alignment vertical="center"/>
    </xf>
    <xf numFmtId="0" fontId="5" fillId="2" borderId="158" xfId="2" applyFont="1" applyFill="1" applyBorder="1"/>
    <xf numFmtId="12" fontId="141" fillId="4" borderId="158" xfId="2" applyNumberFormat="1" applyFont="1" applyFill="1" applyBorder="1" applyAlignment="1">
      <alignment horizontal="center"/>
    </xf>
    <xf numFmtId="0" fontId="2" fillId="2" borderId="158" xfId="2" applyFont="1" applyFill="1" applyBorder="1"/>
    <xf numFmtId="0" fontId="2" fillId="5" borderId="153" xfId="2" applyFont="1" applyFill="1" applyBorder="1" applyAlignment="1">
      <alignment horizontal="center" vertical="center"/>
    </xf>
    <xf numFmtId="0" fontId="2" fillId="5" borderId="155" xfId="2" applyFont="1" applyFill="1" applyBorder="1" applyAlignment="1">
      <alignment horizontal="center" vertical="center"/>
    </xf>
    <xf numFmtId="0" fontId="2" fillId="5" borderId="27" xfId="2" applyFont="1" applyFill="1" applyBorder="1" applyAlignment="1">
      <alignment horizontal="center" vertical="center"/>
    </xf>
    <xf numFmtId="0" fontId="2" fillId="5" borderId="28" xfId="2" applyFont="1" applyFill="1" applyBorder="1" applyAlignment="1">
      <alignment horizontal="center" vertical="center"/>
    </xf>
    <xf numFmtId="0" fontId="2" fillId="5" borderId="29" xfId="2" applyFont="1" applyFill="1" applyBorder="1" applyAlignment="1">
      <alignment horizontal="center" vertical="center"/>
    </xf>
    <xf numFmtId="0" fontId="5" fillId="2" borderId="25" xfId="2" applyFont="1" applyFill="1" applyBorder="1" applyAlignment="1">
      <alignment horizontal="center"/>
    </xf>
    <xf numFmtId="1" fontId="5" fillId="2" borderId="18" xfId="2" applyNumberFormat="1" applyFont="1" applyFill="1" applyBorder="1" applyAlignment="1">
      <alignment horizontal="center"/>
    </xf>
    <xf numFmtId="1" fontId="5" fillId="2" borderId="34" xfId="2" applyNumberFormat="1" applyFont="1" applyFill="1" applyBorder="1" applyAlignment="1">
      <alignment vertical="center"/>
    </xf>
    <xf numFmtId="169" fontId="5" fillId="6" borderId="31" xfId="1" applyNumberFormat="1" applyFont="1" applyFill="1" applyBorder="1" applyAlignment="1">
      <alignment horizontal="center" vertical="center"/>
    </xf>
    <xf numFmtId="0" fontId="86" fillId="0" borderId="0" xfId="0" applyFont="1" applyAlignment="1">
      <alignment horizontal="center" vertical="center"/>
    </xf>
    <xf numFmtId="167" fontId="145" fillId="0" borderId="1" xfId="7" applyNumberFormat="1" applyFont="1" applyBorder="1"/>
    <xf numFmtId="0" fontId="145" fillId="0" borderId="1" xfId="7" applyFont="1" applyBorder="1"/>
    <xf numFmtId="0" fontId="45" fillId="0" borderId="18" xfId="4" applyFont="1" applyBorder="1" applyAlignment="1">
      <alignment vertical="center"/>
    </xf>
    <xf numFmtId="2" fontId="79" fillId="2" borderId="0" xfId="0" applyNumberFormat="1" applyFont="1" applyFill="1" applyAlignment="1">
      <alignment horizontal="center" vertical="center"/>
    </xf>
    <xf numFmtId="168" fontId="7" fillId="40" borderId="0" xfId="0" applyNumberFormat="1" applyFont="1" applyFill="1" applyAlignment="1">
      <alignment horizontal="center" vertical="center"/>
    </xf>
    <xf numFmtId="173" fontId="7" fillId="0" borderId="0" xfId="0" quotePrefix="1" applyNumberFormat="1" applyFont="1" applyAlignment="1">
      <alignment horizontal="center" vertical="center"/>
    </xf>
    <xf numFmtId="169" fontId="7" fillId="0" borderId="0" xfId="0" quotePrefix="1" applyNumberFormat="1" applyFont="1" applyAlignment="1">
      <alignment horizontal="center" vertical="center"/>
    </xf>
    <xf numFmtId="167" fontId="7" fillId="0" borderId="0" xfId="0" quotePrefix="1" applyNumberFormat="1" applyFont="1" applyAlignment="1">
      <alignment horizontal="center" vertical="center"/>
    </xf>
    <xf numFmtId="0" fontId="7" fillId="0" borderId="0" xfId="0" quotePrefix="1" applyFont="1" applyAlignment="1">
      <alignment horizontal="center" vertical="center"/>
    </xf>
    <xf numFmtId="0" fontId="7" fillId="6" borderId="51" xfId="0" applyFont="1" applyFill="1" applyBorder="1" applyAlignment="1">
      <alignment horizontal="center" vertical="center"/>
    </xf>
    <xf numFmtId="186" fontId="119" fillId="2" borderId="21" xfId="2" applyNumberFormat="1" applyFont="1" applyFill="1" applyBorder="1" applyAlignment="1">
      <alignment horizontal="left"/>
    </xf>
    <xf numFmtId="0" fontId="146" fillId="41" borderId="199" xfId="0" applyFont="1" applyFill="1" applyBorder="1" applyAlignment="1">
      <alignment horizontal="center" vertical="center" wrapText="1"/>
    </xf>
    <xf numFmtId="167" fontId="146" fillId="41" borderId="199" xfId="0" applyNumberFormat="1" applyFont="1" applyFill="1" applyBorder="1" applyAlignment="1">
      <alignment horizontal="center" vertical="center" wrapText="1"/>
    </xf>
    <xf numFmtId="0" fontId="81" fillId="41" borderId="221" xfId="0" applyFont="1" applyFill="1" applyBorder="1" applyAlignment="1">
      <alignment horizontal="center" vertical="center"/>
    </xf>
    <xf numFmtId="0" fontId="146" fillId="41" borderId="201" xfId="0" applyFont="1" applyFill="1" applyBorder="1" applyAlignment="1">
      <alignment horizontal="center" vertical="center" wrapText="1"/>
    </xf>
    <xf numFmtId="167" fontId="146" fillId="41" borderId="201" xfId="0" applyNumberFormat="1" applyFont="1" applyFill="1" applyBorder="1" applyAlignment="1">
      <alignment horizontal="center" vertical="center" wrapText="1"/>
    </xf>
    <xf numFmtId="0" fontId="146" fillId="41" borderId="222" xfId="0" applyFont="1" applyFill="1" applyBorder="1" applyAlignment="1">
      <alignment horizontal="center" vertical="center" wrapText="1"/>
    </xf>
    <xf numFmtId="0" fontId="147" fillId="6" borderId="223" xfId="0" applyFont="1" applyFill="1" applyBorder="1" applyAlignment="1">
      <alignment horizontal="center" vertical="center" wrapText="1"/>
    </xf>
    <xf numFmtId="180" fontId="147" fillId="0" borderId="224" xfId="0" applyNumberFormat="1" applyFont="1" applyBorder="1" applyAlignment="1">
      <alignment horizontal="center" vertical="center"/>
    </xf>
    <xf numFmtId="15" fontId="147" fillId="0" borderId="224" xfId="0" applyNumberFormat="1" applyFont="1" applyBorder="1" applyAlignment="1" applyProtection="1">
      <alignment horizontal="center" vertical="center" wrapText="1"/>
      <protection hidden="1"/>
    </xf>
    <xf numFmtId="187" fontId="147" fillId="0" borderId="224" xfId="0" applyNumberFormat="1" applyFont="1" applyBorder="1" applyAlignment="1" applyProtection="1">
      <alignment horizontal="center" vertical="center" wrapText="1"/>
      <protection hidden="1"/>
    </xf>
    <xf numFmtId="0" fontId="147" fillId="0" borderId="224" xfId="0" applyFont="1" applyBorder="1" applyAlignment="1">
      <alignment horizontal="center" vertical="center" wrapText="1"/>
    </xf>
    <xf numFmtId="169" fontId="147" fillId="0" borderId="224" xfId="0" quotePrefix="1" applyNumberFormat="1" applyFont="1" applyBorder="1" applyAlignment="1">
      <alignment horizontal="center" vertical="center" wrapText="1"/>
    </xf>
    <xf numFmtId="1" fontId="147" fillId="0" borderId="224" xfId="0" quotePrefix="1" applyNumberFormat="1" applyFont="1" applyBorder="1" applyAlignment="1">
      <alignment horizontal="center" vertical="center" wrapText="1"/>
    </xf>
    <xf numFmtId="169" fontId="7" fillId="6" borderId="224" xfId="0" applyNumberFormat="1" applyFont="1" applyFill="1" applyBorder="1" applyAlignment="1">
      <alignment horizontal="center" vertical="center"/>
    </xf>
    <xf numFmtId="0" fontId="147" fillId="0" borderId="224" xfId="0" quotePrefix="1" applyFont="1" applyBorder="1" applyAlignment="1">
      <alignment horizontal="center" vertical="center" wrapText="1"/>
    </xf>
    <xf numFmtId="167" fontId="147" fillId="0" borderId="224" xfId="0" quotePrefix="1" applyNumberFormat="1" applyFont="1" applyBorder="1" applyAlignment="1">
      <alignment horizontal="center" vertical="center" wrapText="1"/>
    </xf>
    <xf numFmtId="2" fontId="147" fillId="0" borderId="224" xfId="0" quotePrefix="1" applyNumberFormat="1" applyFont="1" applyBorder="1" applyAlignment="1">
      <alignment horizontal="center" vertical="center" wrapText="1"/>
    </xf>
    <xf numFmtId="169" fontId="147" fillId="6" borderId="224" xfId="0" quotePrefix="1" applyNumberFormat="1" applyFont="1" applyFill="1" applyBorder="1" applyAlignment="1">
      <alignment horizontal="center" vertical="center" wrapText="1"/>
    </xf>
    <xf numFmtId="167" fontId="147" fillId="6" borderId="224" xfId="0" quotePrefix="1" applyNumberFormat="1" applyFont="1" applyFill="1" applyBorder="1" applyAlignment="1">
      <alignment horizontal="center" vertical="center" wrapText="1"/>
    </xf>
    <xf numFmtId="0" fontId="147" fillId="0" borderId="225" xfId="0" quotePrefix="1" applyFont="1" applyBorder="1" applyAlignment="1">
      <alignment horizontal="center" vertical="center" wrapText="1"/>
    </xf>
    <xf numFmtId="0" fontId="148" fillId="41" borderId="226" xfId="0" applyFont="1" applyFill="1" applyBorder="1" applyAlignment="1">
      <alignment vertical="center"/>
    </xf>
    <xf numFmtId="0" fontId="149" fillId="41" borderId="227" xfId="0" applyFont="1" applyFill="1" applyBorder="1" applyAlignment="1">
      <alignment vertical="center" wrapText="1"/>
    </xf>
    <xf numFmtId="168" fontId="149" fillId="41" borderId="228" xfId="0" applyNumberFormat="1" applyFont="1" applyFill="1" applyBorder="1" applyAlignment="1">
      <alignment horizontal="center" vertical="center"/>
    </xf>
    <xf numFmtId="168" fontId="149" fillId="41" borderId="0" xfId="0" applyNumberFormat="1" applyFont="1" applyFill="1" applyAlignment="1">
      <alignment horizontal="center" vertical="center"/>
    </xf>
    <xf numFmtId="1" fontId="149" fillId="41" borderId="0" xfId="0" applyNumberFormat="1" applyFont="1" applyFill="1" applyAlignment="1">
      <alignment vertical="center" wrapText="1"/>
    </xf>
    <xf numFmtId="0" fontId="149" fillId="41" borderId="0" xfId="0" applyFont="1" applyFill="1" applyAlignment="1">
      <alignment vertical="center" wrapText="1"/>
    </xf>
    <xf numFmtId="0" fontId="149" fillId="41" borderId="0" xfId="0" applyFont="1" applyFill="1" applyAlignment="1">
      <alignment horizontal="center" vertical="center" wrapText="1"/>
    </xf>
    <xf numFmtId="0" fontId="149" fillId="41" borderId="0" xfId="26" applyFont="1" applyFill="1" applyAlignment="1">
      <alignment vertical="center" wrapText="1"/>
    </xf>
    <xf numFmtId="0" fontId="146" fillId="41" borderId="213" xfId="0" applyFont="1" applyFill="1" applyBorder="1" applyAlignment="1">
      <alignment horizontal="center" vertical="center" wrapText="1"/>
    </xf>
    <xf numFmtId="0" fontId="146" fillId="41" borderId="213" xfId="0" applyFont="1" applyFill="1" applyBorder="1" applyAlignment="1">
      <alignment horizontal="center" vertical="center"/>
    </xf>
    <xf numFmtId="0" fontId="146" fillId="41" borderId="216" xfId="0" applyFont="1" applyFill="1" applyBorder="1" applyAlignment="1">
      <alignment horizontal="center" vertical="center" wrapText="1"/>
    </xf>
    <xf numFmtId="0" fontId="146" fillId="41" borderId="220" xfId="0" applyFont="1" applyFill="1" applyBorder="1" applyAlignment="1">
      <alignment horizontal="center" vertical="center" wrapText="1"/>
    </xf>
    <xf numFmtId="0" fontId="146" fillId="41" borderId="199" xfId="0" applyFont="1" applyFill="1" applyBorder="1" applyAlignment="1">
      <alignment horizontal="center" vertical="center"/>
    </xf>
    <xf numFmtId="0" fontId="146" fillId="41" borderId="214" xfId="0" applyFont="1" applyFill="1" applyBorder="1" applyAlignment="1">
      <alignment horizontal="center" vertical="center" wrapText="1"/>
    </xf>
    <xf numFmtId="0" fontId="146" fillId="41" borderId="215" xfId="0" applyFont="1" applyFill="1" applyBorder="1" applyAlignment="1">
      <alignment horizontal="center" vertical="center" wrapText="1"/>
    </xf>
    <xf numFmtId="0" fontId="146" fillId="41" borderId="218" xfId="0" applyFont="1" applyFill="1" applyBorder="1" applyAlignment="1">
      <alignment horizontal="center" vertical="center" wrapText="1"/>
    </xf>
    <xf numFmtId="0" fontId="146" fillId="41" borderId="219" xfId="0" applyFont="1" applyFill="1" applyBorder="1" applyAlignment="1">
      <alignment horizontal="center" vertical="center" wrapText="1"/>
    </xf>
    <xf numFmtId="0" fontId="146" fillId="41" borderId="213" xfId="0" applyFont="1" applyFill="1" applyBorder="1" applyAlignment="1">
      <alignment vertical="center" wrapText="1"/>
    </xf>
    <xf numFmtId="188" fontId="25" fillId="42" borderId="229" xfId="0" applyNumberFormat="1" applyFont="1" applyFill="1" applyBorder="1" applyAlignment="1">
      <alignment horizontal="center" vertical="center" wrapText="1"/>
    </xf>
    <xf numFmtId="1" fontId="150" fillId="0" borderId="229" xfId="0" applyNumberFormat="1" applyFont="1" applyBorder="1" applyAlignment="1">
      <alignment horizontal="center" vertical="center" wrapText="1"/>
    </xf>
    <xf numFmtId="169" fontId="151" fillId="0" borderId="229" xfId="0" applyNumberFormat="1" applyFont="1" applyBorder="1" applyAlignment="1">
      <alignment horizontal="center"/>
    </xf>
    <xf numFmtId="169" fontId="151" fillId="0" borderId="229" xfId="0" applyNumberFormat="1" applyFont="1" applyBorder="1" applyAlignment="1">
      <alignment horizontal="center" vertical="center" wrapText="1"/>
    </xf>
    <xf numFmtId="0" fontId="152" fillId="3" borderId="20" xfId="0" applyFont="1" applyFill="1" applyBorder="1" applyAlignment="1">
      <alignment horizontal="center" vertical="center" wrapText="1"/>
    </xf>
    <xf numFmtId="0" fontId="153" fillId="3" borderId="20" xfId="0" applyFont="1" applyFill="1" applyBorder="1" applyAlignment="1">
      <alignment horizontal="center" vertical="center" wrapText="1"/>
    </xf>
    <xf numFmtId="0" fontId="155" fillId="6" borderId="0" xfId="0" applyFont="1" applyFill="1" applyAlignment="1">
      <alignment horizontal="center" vertical="center"/>
    </xf>
    <xf numFmtId="0" fontId="155" fillId="6" borderId="0" xfId="0" applyFont="1" applyFill="1" applyAlignment="1">
      <alignment horizontal="center" vertical="center" wrapText="1"/>
    </xf>
    <xf numFmtId="0" fontId="155" fillId="0" borderId="1" xfId="0" applyFont="1" applyBorder="1" applyAlignment="1">
      <alignment vertical="center" wrapText="1"/>
    </xf>
    <xf numFmtId="0" fontId="155" fillId="6" borderId="11" xfId="0" applyFont="1" applyFill="1" applyBorder="1" applyAlignment="1">
      <alignment vertical="center" wrapText="1"/>
    </xf>
    <xf numFmtId="0" fontId="155" fillId="6" borderId="1" xfId="0" applyFont="1" applyFill="1" applyBorder="1" applyAlignment="1">
      <alignment horizontal="center"/>
    </xf>
    <xf numFmtId="0" fontId="155" fillId="6" borderId="0" xfId="0" applyFont="1" applyFill="1" applyAlignment="1">
      <alignment horizontal="center"/>
    </xf>
    <xf numFmtId="0" fontId="155" fillId="6" borderId="0" xfId="0" applyFont="1" applyFill="1"/>
    <xf numFmtId="0" fontId="152" fillId="3" borderId="21" xfId="0" applyFont="1" applyFill="1" applyBorder="1" applyAlignment="1">
      <alignment horizontal="center" vertical="center" wrapText="1"/>
    </xf>
    <xf numFmtId="16" fontId="7" fillId="2" borderId="0" xfId="2" applyNumberFormat="1" applyFont="1" applyFill="1" applyAlignment="1">
      <alignment horizontal="left"/>
    </xf>
    <xf numFmtId="0" fontId="7" fillId="2" borderId="0" xfId="2" applyFont="1" applyFill="1"/>
    <xf numFmtId="0" fontId="7" fillId="2" borderId="0" xfId="2" applyFont="1" applyFill="1" applyAlignment="1">
      <alignment horizontal="left"/>
    </xf>
    <xf numFmtId="0" fontId="7" fillId="2" borderId="0" xfId="2" applyFont="1" applyFill="1" applyAlignment="1">
      <alignment horizontal="right"/>
    </xf>
    <xf numFmtId="0" fontId="7" fillId="2" borderId="0" xfId="2" quotePrefix="1" applyFont="1" applyFill="1" applyAlignment="1">
      <alignment horizontal="center"/>
    </xf>
    <xf numFmtId="0" fontId="7" fillId="2" borderId="0" xfId="2" applyFont="1" applyFill="1" applyAlignment="1">
      <alignment horizontal="center"/>
    </xf>
    <xf numFmtId="0" fontId="7" fillId="0" borderId="0" xfId="4" applyFont="1" applyAlignment="1">
      <alignment horizontal="left"/>
    </xf>
    <xf numFmtId="0" fontId="7" fillId="0" borderId="0" xfId="4" applyFont="1"/>
    <xf numFmtId="0" fontId="3" fillId="0" borderId="0" xfId="1" applyFont="1" applyAlignment="1">
      <alignment vertical="center"/>
    </xf>
    <xf numFmtId="0" fontId="4" fillId="2" borderId="4" xfId="5" applyFill="1" applyBorder="1"/>
    <xf numFmtId="0" fontId="119" fillId="0" borderId="0" xfId="0" applyFont="1" applyAlignment="1">
      <alignment horizontal="left" indent="1"/>
    </xf>
    <xf numFmtId="3" fontId="138" fillId="4" borderId="35" xfId="5" applyNumberFormat="1" applyFont="1" applyFill="1" applyBorder="1" applyAlignment="1" applyProtection="1">
      <alignment horizontal="center"/>
      <protection locked="0"/>
    </xf>
    <xf numFmtId="169" fontId="5" fillId="0" borderId="82" xfId="2" applyNumberFormat="1" applyFont="1" applyBorder="1" applyAlignment="1" applyProtection="1">
      <alignment horizontal="center"/>
      <protection hidden="1"/>
    </xf>
    <xf numFmtId="169" fontId="2" fillId="0" borderId="36" xfId="2" applyNumberFormat="1" applyFont="1" applyBorder="1" applyAlignment="1" applyProtection="1">
      <alignment horizontal="center"/>
      <protection hidden="1"/>
    </xf>
    <xf numFmtId="169" fontId="5" fillId="0" borderId="28" xfId="2" applyNumberFormat="1" applyFont="1" applyBorder="1" applyAlignment="1" applyProtection="1">
      <alignment horizontal="center"/>
      <protection hidden="1"/>
    </xf>
    <xf numFmtId="0" fontId="5" fillId="0" borderId="230" xfId="2" applyFont="1" applyBorder="1" applyAlignment="1">
      <alignment horizontal="center"/>
    </xf>
    <xf numFmtId="167" fontId="5" fillId="2" borderId="53" xfId="2" applyNumberFormat="1" applyFont="1" applyFill="1" applyBorder="1" applyAlignment="1">
      <alignment horizontal="center"/>
    </xf>
    <xf numFmtId="167" fontId="5" fillId="2" borderId="36" xfId="2" applyNumberFormat="1" applyFont="1" applyFill="1" applyBorder="1" applyAlignment="1">
      <alignment horizontal="center"/>
    </xf>
    <xf numFmtId="169" fontId="5" fillId="0" borderId="54" xfId="2" applyNumberFormat="1" applyFont="1" applyBorder="1" applyAlignment="1" applyProtection="1">
      <alignment horizontal="center"/>
      <protection hidden="1"/>
    </xf>
    <xf numFmtId="169" fontId="5" fillId="0" borderId="135" xfId="2" applyNumberFormat="1" applyFont="1" applyBorder="1" applyAlignment="1" applyProtection="1">
      <alignment horizontal="center"/>
      <protection hidden="1"/>
    </xf>
    <xf numFmtId="169" fontId="5" fillId="0" borderId="36" xfId="2" applyNumberFormat="1" applyFont="1" applyBorder="1" applyAlignment="1" applyProtection="1">
      <alignment horizontal="center"/>
      <protection hidden="1"/>
    </xf>
    <xf numFmtId="0" fontId="5" fillId="0" borderId="25" xfId="2" applyFont="1" applyBorder="1" applyAlignment="1">
      <alignment horizontal="center"/>
    </xf>
    <xf numFmtId="167" fontId="5" fillId="2" borderId="28" xfId="2" applyNumberFormat="1" applyFont="1" applyFill="1" applyBorder="1" applyAlignment="1">
      <alignment horizontal="center"/>
    </xf>
    <xf numFmtId="3" fontId="138" fillId="4" borderId="231" xfId="5" applyNumberFormat="1" applyFont="1" applyFill="1" applyBorder="1" applyAlignment="1" applyProtection="1">
      <alignment horizontal="center"/>
      <protection locked="0"/>
    </xf>
    <xf numFmtId="3" fontId="138" fillId="4" borderId="25" xfId="5" applyNumberFormat="1" applyFont="1" applyFill="1" applyBorder="1" applyAlignment="1" applyProtection="1">
      <alignment horizontal="center"/>
      <protection locked="0"/>
    </xf>
    <xf numFmtId="0" fontId="142" fillId="6" borderId="194" xfId="0" applyFont="1" applyFill="1" applyBorder="1"/>
    <xf numFmtId="0" fontId="2" fillId="2" borderId="158" xfId="2" applyFont="1" applyFill="1" applyBorder="1" applyAlignment="1">
      <alignment horizontal="right"/>
    </xf>
    <xf numFmtId="0" fontId="2" fillId="0" borderId="20" xfId="3" applyFont="1" applyBorder="1" applyAlignment="1">
      <alignment horizontal="right" vertical="center"/>
    </xf>
    <xf numFmtId="180" fontId="119" fillId="0" borderId="20" xfId="3" applyNumberFormat="1" applyFont="1" applyBorder="1" applyAlignment="1">
      <alignment vertical="center"/>
    </xf>
    <xf numFmtId="1" fontId="5" fillId="2" borderId="0" xfId="2" applyNumberFormat="1" applyFont="1" applyFill="1" applyAlignment="1">
      <alignment vertical="center"/>
    </xf>
    <xf numFmtId="169" fontId="5" fillId="6" borderId="5" xfId="1" applyNumberFormat="1" applyFont="1" applyFill="1" applyBorder="1" applyAlignment="1">
      <alignment horizontal="center" vertical="center"/>
    </xf>
    <xf numFmtId="0" fontId="125" fillId="2" borderId="16" xfId="1" applyFont="1" applyFill="1" applyBorder="1" applyAlignment="1">
      <alignment horizontal="left" vertical="center" indent="1"/>
    </xf>
    <xf numFmtId="0" fontId="5" fillId="2" borderId="17" xfId="2" applyFont="1" applyFill="1" applyBorder="1"/>
    <xf numFmtId="186" fontId="119" fillId="2" borderId="18" xfId="2" applyNumberFormat="1" applyFont="1" applyFill="1" applyBorder="1" applyAlignment="1">
      <alignment horizontal="left"/>
    </xf>
    <xf numFmtId="0" fontId="125" fillId="2" borderId="37" xfId="1" applyFont="1" applyFill="1" applyBorder="1" applyAlignment="1">
      <alignment horizontal="left" vertical="center" indent="1"/>
    </xf>
    <xf numFmtId="0" fontId="0" fillId="0" borderId="20" xfId="0" applyBorder="1"/>
    <xf numFmtId="0" fontId="128" fillId="2" borderId="37" xfId="1" applyFont="1" applyFill="1" applyBorder="1" applyAlignment="1">
      <alignment horizontal="left" vertical="center" indent="1"/>
    </xf>
    <xf numFmtId="0" fontId="0" fillId="0" borderId="21" xfId="0" applyBorder="1"/>
    <xf numFmtId="0" fontId="0" fillId="0" borderId="37" xfId="0" applyBorder="1"/>
    <xf numFmtId="1" fontId="125" fillId="2" borderId="37" xfId="2" applyNumberFormat="1" applyFont="1" applyFill="1" applyBorder="1" applyAlignment="1">
      <alignment horizontal="left" vertical="center" indent="1"/>
    </xf>
    <xf numFmtId="1" fontId="125" fillId="2" borderId="20" xfId="2" applyNumberFormat="1" applyFont="1" applyFill="1" applyBorder="1" applyAlignment="1">
      <alignment vertical="center"/>
    </xf>
    <xf numFmtId="169" fontId="119" fillId="2" borderId="20" xfId="2" applyNumberFormat="1" applyFont="1" applyFill="1" applyBorder="1" applyAlignment="1">
      <alignment horizontal="right" vertical="center"/>
    </xf>
    <xf numFmtId="177" fontId="119" fillId="6" borderId="21" xfId="1" applyNumberFormat="1" applyFont="1" applyFill="1" applyBorder="1" applyAlignment="1">
      <alignment horizontal="left" vertical="center"/>
    </xf>
    <xf numFmtId="176" fontId="119" fillId="6" borderId="21" xfId="1" applyNumberFormat="1" applyFont="1" applyFill="1" applyBorder="1" applyAlignment="1">
      <alignment horizontal="left" vertical="center"/>
    </xf>
    <xf numFmtId="0" fontId="2" fillId="2" borderId="37" xfId="1" applyFont="1" applyFill="1" applyBorder="1" applyAlignment="1">
      <alignment horizontal="left" vertical="center" indent="1"/>
    </xf>
    <xf numFmtId="0" fontId="140" fillId="2" borderId="37" xfId="1" applyFont="1" applyFill="1" applyBorder="1" applyAlignment="1">
      <alignment horizontal="left" vertical="center" indent="1"/>
    </xf>
    <xf numFmtId="0" fontId="119" fillId="2" borderId="37" xfId="2" applyFont="1" applyFill="1" applyBorder="1" applyAlignment="1">
      <alignment horizontal="left" indent="1"/>
    </xf>
    <xf numFmtId="0" fontId="140" fillId="0" borderId="20" xfId="0" applyFont="1" applyBorder="1" applyAlignment="1">
      <alignment horizontal="right"/>
    </xf>
    <xf numFmtId="0" fontId="2" fillId="0" borderId="16" xfId="1" applyFont="1" applyBorder="1" applyAlignment="1">
      <alignment horizontal="left" vertical="center"/>
    </xf>
    <xf numFmtId="0" fontId="2" fillId="0" borderId="17" xfId="1" applyFont="1" applyBorder="1" applyAlignment="1">
      <alignment horizontal="right" vertical="center"/>
    </xf>
    <xf numFmtId="14" fontId="119" fillId="0" borderId="17" xfId="3" applyNumberFormat="1" applyFont="1" applyBorder="1" applyAlignment="1">
      <alignment vertical="center"/>
    </xf>
    <xf numFmtId="0" fontId="2" fillId="0" borderId="37" xfId="1" applyFont="1" applyBorder="1" applyAlignment="1">
      <alignment vertical="center"/>
    </xf>
    <xf numFmtId="14" fontId="119" fillId="0" borderId="20" xfId="0" applyNumberFormat="1" applyFont="1" applyBorder="1"/>
    <xf numFmtId="0" fontId="139" fillId="0" borderId="21" xfId="0" applyFont="1" applyBorder="1"/>
    <xf numFmtId="0" fontId="2" fillId="0" borderId="158" xfId="3" applyFont="1" applyBorder="1" applyAlignment="1">
      <alignment horizontal="right" vertical="center"/>
    </xf>
    <xf numFmtId="0" fontId="0" fillId="0" borderId="158" xfId="0" applyBorder="1"/>
    <xf numFmtId="0" fontId="30" fillId="2" borderId="106" xfId="0" applyFont="1" applyFill="1" applyBorder="1" applyAlignment="1">
      <alignment horizontal="center"/>
    </xf>
    <xf numFmtId="0" fontId="30" fillId="2" borderId="107" xfId="0" applyFont="1" applyFill="1" applyBorder="1" applyAlignment="1">
      <alignment horizontal="center"/>
    </xf>
    <xf numFmtId="0" fontId="30" fillId="2" borderId="108" xfId="0" applyFont="1" applyFill="1" applyBorder="1" applyAlignment="1">
      <alignment horizontal="center"/>
    </xf>
    <xf numFmtId="0" fontId="4" fillId="2" borderId="96" xfId="0" applyFont="1" applyFill="1" applyBorder="1"/>
    <xf numFmtId="0" fontId="4" fillId="2" borderId="97" xfId="0" applyFont="1" applyFill="1" applyBorder="1"/>
    <xf numFmtId="0" fontId="4" fillId="2" borderId="98" xfId="0" applyFont="1" applyFill="1" applyBorder="1"/>
    <xf numFmtId="0" fontId="30" fillId="2" borderId="99" xfId="0" applyFont="1" applyFill="1" applyBorder="1"/>
    <xf numFmtId="0" fontId="30" fillId="2" borderId="100" xfId="0" applyFont="1" applyFill="1" applyBorder="1"/>
    <xf numFmtId="0" fontId="30" fillId="2" borderId="101" xfId="0" applyFont="1" applyFill="1" applyBorder="1"/>
    <xf numFmtId="0" fontId="19" fillId="19" borderId="96" xfId="0" applyFont="1" applyFill="1" applyBorder="1" applyAlignment="1">
      <alignment horizontal="center" vertical="center"/>
    </xf>
    <xf numFmtId="0" fontId="19" fillId="19" borderId="97" xfId="0" applyFont="1" applyFill="1" applyBorder="1" applyAlignment="1">
      <alignment horizontal="center" vertical="center"/>
    </xf>
    <xf numFmtId="0" fontId="19" fillId="19" borderId="98" xfId="0" applyFont="1" applyFill="1" applyBorder="1" applyAlignment="1">
      <alignment horizontal="center" vertical="center"/>
    </xf>
    <xf numFmtId="0" fontId="19" fillId="19" borderId="103" xfId="0" applyFont="1" applyFill="1" applyBorder="1" applyAlignment="1">
      <alignment horizontal="center" vertical="center"/>
    </xf>
    <xf numFmtId="0" fontId="19" fillId="19" borderId="0" xfId="0" applyFont="1" applyFill="1" applyAlignment="1">
      <alignment horizontal="center" vertical="center"/>
    </xf>
    <xf numFmtId="0" fontId="19" fillId="19" borderId="104" xfId="0" applyFont="1" applyFill="1" applyBorder="1" applyAlignment="1">
      <alignment horizontal="center" vertical="center"/>
    </xf>
    <xf numFmtId="0" fontId="19" fillId="19" borderId="99" xfId="0" applyFont="1" applyFill="1" applyBorder="1" applyAlignment="1">
      <alignment horizontal="center" vertical="center"/>
    </xf>
    <xf numFmtId="0" fontId="19" fillId="19" borderId="100" xfId="0" applyFont="1" applyFill="1" applyBorder="1" applyAlignment="1">
      <alignment horizontal="center" vertical="center"/>
    </xf>
    <xf numFmtId="0" fontId="19" fillId="19" borderId="101" xfId="0" applyFont="1" applyFill="1" applyBorder="1" applyAlignment="1">
      <alignment horizontal="center" vertical="center"/>
    </xf>
    <xf numFmtId="0" fontId="30" fillId="0" borderId="2" xfId="7" applyFont="1" applyBorder="1" applyAlignment="1">
      <alignment horizontal="center"/>
    </xf>
    <xf numFmtId="0" fontId="30" fillId="0" borderId="14" xfId="7" applyFont="1" applyBorder="1" applyAlignment="1">
      <alignment horizontal="center"/>
    </xf>
    <xf numFmtId="0" fontId="30" fillId="0" borderId="3" xfId="7" applyFont="1" applyBorder="1" applyAlignment="1">
      <alignment horizontal="center"/>
    </xf>
    <xf numFmtId="0" fontId="56" fillId="2" borderId="116" xfId="7" applyFont="1" applyFill="1" applyBorder="1" applyAlignment="1">
      <alignment horizontal="center" vertical="center" textRotation="90"/>
    </xf>
    <xf numFmtId="0" fontId="56" fillId="2" borderId="60" xfId="7" applyFont="1" applyFill="1" applyBorder="1" applyAlignment="1">
      <alignment horizontal="center" vertical="center" textRotation="90"/>
    </xf>
    <xf numFmtId="0" fontId="56" fillId="2" borderId="117" xfId="7" applyFont="1" applyFill="1" applyBorder="1" applyAlignment="1">
      <alignment horizontal="center" vertical="center" textRotation="90"/>
    </xf>
    <xf numFmtId="0" fontId="56" fillId="2" borderId="44" xfId="7" applyFont="1" applyFill="1" applyBorder="1" applyAlignment="1">
      <alignment horizontal="center" vertical="center" textRotation="90"/>
    </xf>
    <xf numFmtId="0" fontId="56" fillId="2" borderId="114" xfId="7" applyFont="1" applyFill="1" applyBorder="1" applyAlignment="1">
      <alignment horizontal="center" vertical="center" textRotation="90"/>
    </xf>
    <xf numFmtId="0" fontId="37" fillId="2" borderId="113" xfId="7" applyFont="1" applyFill="1" applyBorder="1" applyAlignment="1">
      <alignment horizontal="center" vertical="center"/>
    </xf>
    <xf numFmtId="0" fontId="37" fillId="2" borderId="12" xfId="7" applyFont="1" applyFill="1" applyBorder="1" applyAlignment="1">
      <alignment horizontal="center" vertical="center"/>
    </xf>
    <xf numFmtId="0" fontId="4" fillId="2" borderId="113" xfId="7" applyFill="1" applyBorder="1" applyAlignment="1">
      <alignment horizontal="left" vertical="center"/>
    </xf>
    <xf numFmtId="0" fontId="4" fillId="2" borderId="12" xfId="7" applyFill="1" applyBorder="1" applyAlignment="1">
      <alignment horizontal="left" vertical="center"/>
    </xf>
    <xf numFmtId="0" fontId="4" fillId="2" borderId="45" xfId="7" applyFill="1" applyBorder="1" applyAlignment="1">
      <alignment horizontal="center" vertical="center"/>
    </xf>
    <xf numFmtId="0" fontId="4" fillId="2" borderId="6" xfId="7" applyFill="1" applyBorder="1" applyAlignment="1">
      <alignment horizontal="center" vertical="center"/>
    </xf>
    <xf numFmtId="0" fontId="4" fillId="2" borderId="77" xfId="7" applyFill="1" applyBorder="1" applyAlignment="1">
      <alignment horizontal="center" vertical="center"/>
    </xf>
    <xf numFmtId="0" fontId="4" fillId="2" borderId="7" xfId="7" applyFill="1" applyBorder="1" applyAlignment="1">
      <alignment horizontal="center" vertical="center"/>
    </xf>
    <xf numFmtId="0" fontId="11" fillId="2" borderId="13" xfId="7" applyFont="1" applyFill="1" applyBorder="1" applyAlignment="1">
      <alignment horizontal="center" vertical="center"/>
    </xf>
    <xf numFmtId="0" fontId="11" fillId="2" borderId="12" xfId="7" applyFont="1" applyFill="1" applyBorder="1" applyAlignment="1">
      <alignment horizontal="center" vertical="center"/>
    </xf>
    <xf numFmtId="0" fontId="37" fillId="2" borderId="11" xfId="7" applyFont="1" applyFill="1" applyBorder="1" applyAlignment="1">
      <alignment horizontal="center" vertical="center"/>
    </xf>
    <xf numFmtId="0" fontId="4" fillId="2" borderId="11" xfId="7" applyFill="1" applyBorder="1" applyAlignment="1">
      <alignment horizontal="left" vertical="center"/>
    </xf>
    <xf numFmtId="0" fontId="53" fillId="2" borderId="83" xfId="7" applyFont="1" applyFill="1" applyBorder="1" applyAlignment="1">
      <alignment horizontal="center"/>
    </xf>
    <xf numFmtId="0" fontId="53" fillId="2" borderId="85" xfId="7" applyFont="1" applyFill="1" applyBorder="1" applyAlignment="1">
      <alignment horizontal="center"/>
    </xf>
    <xf numFmtId="0" fontId="53" fillId="2" borderId="92" xfId="7" applyFont="1" applyFill="1" applyBorder="1" applyAlignment="1">
      <alignment horizontal="center"/>
    </xf>
    <xf numFmtId="0" fontId="34" fillId="2" borderId="63" xfId="7" applyFont="1" applyFill="1" applyBorder="1" applyAlignment="1">
      <alignment horizontal="center" vertical="center"/>
    </xf>
    <xf numFmtId="0" fontId="34" fillId="2" borderId="0" xfId="7" applyFont="1" applyFill="1" applyAlignment="1">
      <alignment horizontal="center" vertical="center"/>
    </xf>
    <xf numFmtId="0" fontId="34" fillId="2" borderId="64" xfId="7" applyFont="1" applyFill="1" applyBorder="1" applyAlignment="1">
      <alignment horizontal="center" vertical="center"/>
    </xf>
    <xf numFmtId="0" fontId="34" fillId="2" borderId="68" xfId="7" applyFont="1" applyFill="1" applyBorder="1" applyAlignment="1">
      <alignment horizontal="center" vertical="center"/>
    </xf>
    <xf numFmtId="0" fontId="34" fillId="2" borderId="79" xfId="7" applyFont="1" applyFill="1" applyBorder="1" applyAlignment="1">
      <alignment horizontal="center" vertical="center"/>
    </xf>
    <xf numFmtId="0" fontId="34" fillId="2" borderId="81" xfId="7" applyFont="1" applyFill="1" applyBorder="1" applyAlignment="1">
      <alignment horizontal="center" vertical="center"/>
    </xf>
    <xf numFmtId="0" fontId="41" fillId="2" borderId="111" xfId="7" applyFont="1" applyFill="1" applyBorder="1" applyAlignment="1">
      <alignment horizontal="center" vertical="center"/>
    </xf>
    <xf numFmtId="0" fontId="41" fillId="2" borderId="84" xfId="7" applyFont="1" applyFill="1" applyBorder="1" applyAlignment="1">
      <alignment horizontal="center" vertical="center"/>
    </xf>
    <xf numFmtId="0" fontId="41" fillId="2" borderId="68" xfId="7" applyFont="1" applyFill="1" applyBorder="1" applyAlignment="1">
      <alignment horizontal="center" vertical="center"/>
    </xf>
    <xf numFmtId="0" fontId="41" fillId="2" borderId="79" xfId="7" applyFont="1" applyFill="1" applyBorder="1" applyAlignment="1">
      <alignment horizontal="center" vertical="center"/>
    </xf>
    <xf numFmtId="0" fontId="41" fillId="2" borderId="81" xfId="7" applyFont="1" applyFill="1" applyBorder="1" applyAlignment="1">
      <alignment horizontal="center" vertical="center"/>
    </xf>
    <xf numFmtId="0" fontId="18" fillId="0" borderId="111" xfId="7" applyFont="1" applyBorder="1" applyAlignment="1">
      <alignment horizontal="center" vertical="center"/>
    </xf>
    <xf numFmtId="0" fontId="18" fillId="0" borderId="84" xfId="7" applyFont="1" applyBorder="1" applyAlignment="1">
      <alignment horizontal="center" vertical="center"/>
    </xf>
    <xf numFmtId="0" fontId="30" fillId="0" borderId="6" xfId="7" applyFont="1" applyBorder="1" applyAlignment="1">
      <alignment horizontal="center"/>
    </xf>
    <xf numFmtId="0" fontId="30" fillId="0" borderId="15" xfId="7" applyFont="1" applyBorder="1" applyAlignment="1">
      <alignment horizontal="center"/>
    </xf>
    <xf numFmtId="0" fontId="30" fillId="0" borderId="7" xfId="7" applyFont="1" applyBorder="1" applyAlignment="1">
      <alignment horizontal="center"/>
    </xf>
    <xf numFmtId="0" fontId="18" fillId="0" borderId="68" xfId="7" applyFont="1" applyBorder="1" applyAlignment="1">
      <alignment horizontal="center"/>
    </xf>
    <xf numFmtId="0" fontId="18" fillId="0" borderId="81" xfId="7" applyFont="1" applyBorder="1" applyAlignment="1">
      <alignment horizontal="center"/>
    </xf>
    <xf numFmtId="0" fontId="27" fillId="2" borderId="83" xfId="7" applyFont="1" applyFill="1" applyBorder="1" applyAlignment="1">
      <alignment horizontal="center" vertical="center"/>
    </xf>
    <xf numFmtId="0" fontId="27" fillId="2" borderId="92" xfId="7" applyFont="1" applyFill="1" applyBorder="1" applyAlignment="1">
      <alignment horizontal="center" vertical="center"/>
    </xf>
    <xf numFmtId="0" fontId="27" fillId="2" borderId="85" xfId="7" applyFont="1" applyFill="1" applyBorder="1" applyAlignment="1">
      <alignment horizontal="center" vertical="center"/>
    </xf>
    <xf numFmtId="0" fontId="4" fillId="17" borderId="1" xfId="7" applyFill="1" applyBorder="1" applyAlignment="1">
      <alignment horizontal="center" vertical="center"/>
    </xf>
    <xf numFmtId="0" fontId="30" fillId="17" borderId="1" xfId="7" applyFont="1" applyFill="1" applyBorder="1" applyAlignment="1">
      <alignment horizontal="center" vertical="center"/>
    </xf>
    <xf numFmtId="0" fontId="4" fillId="2" borderId="2" xfId="7" applyFill="1" applyBorder="1" applyAlignment="1">
      <alignment horizontal="center" vertical="center"/>
    </xf>
    <xf numFmtId="0" fontId="4" fillId="2" borderId="3" xfId="7" applyFill="1" applyBorder="1" applyAlignment="1">
      <alignment horizontal="center" vertical="center"/>
    </xf>
    <xf numFmtId="0" fontId="11" fillId="2" borderId="11" xfId="7" applyFont="1" applyFill="1" applyBorder="1" applyAlignment="1">
      <alignment horizontal="center" vertical="center"/>
    </xf>
    <xf numFmtId="0" fontId="4" fillId="0" borderId="1" xfId="7" applyBorder="1" applyAlignment="1">
      <alignment horizontal="center" vertical="center"/>
    </xf>
    <xf numFmtId="0" fontId="4" fillId="2" borderId="11" xfId="7" applyFill="1" applyBorder="1" applyAlignment="1">
      <alignment horizontal="center" vertical="center"/>
    </xf>
    <xf numFmtId="0" fontId="4" fillId="2" borderId="12" xfId="7" applyFill="1" applyBorder="1" applyAlignment="1">
      <alignment horizontal="center" vertical="center"/>
    </xf>
    <xf numFmtId="0" fontId="57" fillId="2" borderId="4" xfId="7" applyFont="1" applyFill="1" applyBorder="1" applyAlignment="1">
      <alignment horizontal="center"/>
    </xf>
    <xf numFmtId="0" fontId="57" fillId="2" borderId="5" xfId="7" applyFont="1" applyFill="1" applyBorder="1" applyAlignment="1">
      <alignment horizontal="center"/>
    </xf>
    <xf numFmtId="0" fontId="4" fillId="2" borderId="11" xfId="7" applyFill="1" applyBorder="1" applyAlignment="1">
      <alignment horizontal="center"/>
    </xf>
    <xf numFmtId="0" fontId="4" fillId="2" borderId="12" xfId="7" applyFill="1" applyBorder="1" applyAlignment="1">
      <alignment horizontal="center"/>
    </xf>
    <xf numFmtId="0" fontId="4" fillId="2" borderId="13" xfId="7" applyFill="1" applyBorder="1" applyAlignment="1">
      <alignment horizontal="center" vertical="center"/>
    </xf>
    <xf numFmtId="0" fontId="37" fillId="2" borderId="13" xfId="7" applyFont="1" applyFill="1" applyBorder="1" applyAlignment="1">
      <alignment horizontal="center" vertical="center"/>
    </xf>
    <xf numFmtId="0" fontId="65" fillId="2" borderId="11" xfId="7" applyFont="1" applyFill="1" applyBorder="1" applyAlignment="1">
      <alignment horizontal="center" vertical="center"/>
    </xf>
    <xf numFmtId="0" fontId="65" fillId="2" borderId="13" xfId="7" applyFont="1" applyFill="1" applyBorder="1" applyAlignment="1">
      <alignment horizontal="center" vertical="center"/>
    </xf>
    <xf numFmtId="0" fontId="65" fillId="2" borderId="12" xfId="7" applyFont="1" applyFill="1" applyBorder="1" applyAlignment="1">
      <alignment horizontal="center" vertical="center"/>
    </xf>
    <xf numFmtId="0" fontId="22" fillId="2" borderId="2" xfId="7" applyFont="1" applyFill="1" applyBorder="1" applyAlignment="1">
      <alignment horizontal="center" vertical="center"/>
    </xf>
    <xf numFmtId="0" fontId="22" fillId="2" borderId="3" xfId="7" applyFont="1" applyFill="1" applyBorder="1" applyAlignment="1">
      <alignment horizontal="center" vertical="center"/>
    </xf>
    <xf numFmtId="0" fontId="22" fillId="2" borderId="4" xfId="7" applyFont="1" applyFill="1" applyBorder="1" applyAlignment="1">
      <alignment horizontal="center" vertical="center"/>
    </xf>
    <xf numFmtId="0" fontId="22" fillId="2" borderId="5" xfId="7" applyFont="1" applyFill="1" applyBorder="1" applyAlignment="1">
      <alignment horizontal="center" vertical="center"/>
    </xf>
    <xf numFmtId="0" fontId="22" fillId="2" borderId="6" xfId="7" applyFont="1" applyFill="1" applyBorder="1" applyAlignment="1">
      <alignment horizontal="center" vertical="center"/>
    </xf>
    <xf numFmtId="0" fontId="22" fillId="2" borderId="7" xfId="7" applyFont="1" applyFill="1" applyBorder="1" applyAlignment="1">
      <alignment horizontal="center" vertical="center"/>
    </xf>
    <xf numFmtId="0" fontId="4" fillId="2" borderId="13" xfId="7" applyFill="1" applyBorder="1" applyAlignment="1">
      <alignment horizontal="left" vertical="center" wrapText="1"/>
    </xf>
    <xf numFmtId="0" fontId="4" fillId="2" borderId="13" xfId="7" applyFill="1" applyBorder="1" applyAlignment="1">
      <alignment horizontal="left" vertical="center"/>
    </xf>
    <xf numFmtId="0" fontId="66" fillId="25" borderId="80" xfId="7" applyFont="1" applyFill="1" applyBorder="1" applyAlignment="1">
      <alignment horizontal="center" vertical="center"/>
    </xf>
    <xf numFmtId="0" fontId="66" fillId="25" borderId="69" xfId="7" applyFont="1" applyFill="1" applyBorder="1" applyAlignment="1">
      <alignment horizontal="center" vertical="center"/>
    </xf>
    <xf numFmtId="0" fontId="66" fillId="25" borderId="63" xfId="7" applyFont="1" applyFill="1" applyBorder="1" applyAlignment="1">
      <alignment horizontal="center" vertical="center"/>
    </xf>
    <xf numFmtId="0" fontId="66" fillId="25" borderId="64" xfId="7" applyFont="1" applyFill="1" applyBorder="1" applyAlignment="1">
      <alignment horizontal="center" vertical="center"/>
    </xf>
    <xf numFmtId="0" fontId="68" fillId="25" borderId="63" xfId="7" applyFont="1" applyFill="1" applyBorder="1" applyAlignment="1">
      <alignment horizontal="center" vertical="center"/>
    </xf>
    <xf numFmtId="0" fontId="68" fillId="25" borderId="64" xfId="7" applyFont="1" applyFill="1" applyBorder="1" applyAlignment="1">
      <alignment horizontal="center" vertical="center"/>
    </xf>
    <xf numFmtId="0" fontId="68" fillId="25" borderId="68" xfId="7" applyFont="1" applyFill="1" applyBorder="1" applyAlignment="1">
      <alignment horizontal="center" vertical="center"/>
    </xf>
    <xf numFmtId="0" fontId="68" fillId="25" borderId="81" xfId="7" applyFont="1" applyFill="1" applyBorder="1" applyAlignment="1">
      <alignment horizontal="center" vertical="center"/>
    </xf>
    <xf numFmtId="0" fontId="105" fillId="25" borderId="173" xfId="7" applyFont="1" applyFill="1" applyBorder="1" applyAlignment="1">
      <alignment horizontal="left" vertical="center" wrapText="1"/>
    </xf>
    <xf numFmtId="0" fontId="105" fillId="25" borderId="174" xfId="7" applyFont="1" applyFill="1" applyBorder="1" applyAlignment="1">
      <alignment horizontal="left" vertical="center" wrapText="1"/>
    </xf>
    <xf numFmtId="0" fontId="101" fillId="34" borderId="176" xfId="7" applyFont="1" applyFill="1" applyBorder="1" applyAlignment="1">
      <alignment horizontal="center" vertical="center" textRotation="90" wrapText="1"/>
    </xf>
    <xf numFmtId="0" fontId="101" fillId="34" borderId="170" xfId="7" applyFont="1" applyFill="1" applyBorder="1" applyAlignment="1">
      <alignment horizontal="center" vertical="center" textRotation="90" wrapText="1"/>
    </xf>
    <xf numFmtId="0" fontId="101" fillId="34" borderId="181" xfId="7" applyFont="1" applyFill="1" applyBorder="1" applyAlignment="1">
      <alignment horizontal="center" vertical="center" textRotation="90" wrapText="1"/>
    </xf>
    <xf numFmtId="0" fontId="101" fillId="34" borderId="2" xfId="7" applyFont="1" applyFill="1" applyBorder="1" applyAlignment="1">
      <alignment horizontal="center" vertical="center" textRotation="90" wrapText="1"/>
    </xf>
    <xf numFmtId="0" fontId="101" fillId="34" borderId="3" xfId="7" applyFont="1" applyFill="1" applyBorder="1" applyAlignment="1">
      <alignment horizontal="center" vertical="center" textRotation="90" wrapText="1"/>
    </xf>
    <xf numFmtId="0" fontId="101" fillId="34" borderId="4" xfId="7" applyFont="1" applyFill="1" applyBorder="1" applyAlignment="1">
      <alignment horizontal="center" vertical="center" textRotation="90" wrapText="1"/>
    </xf>
    <xf numFmtId="0" fontId="101" fillId="34" borderId="5" xfId="7" applyFont="1" applyFill="1" applyBorder="1" applyAlignment="1">
      <alignment horizontal="center" vertical="center" textRotation="90" wrapText="1"/>
    </xf>
    <xf numFmtId="0" fontId="101" fillId="34" borderId="6" xfId="7" applyFont="1" applyFill="1" applyBorder="1" applyAlignment="1">
      <alignment horizontal="center" vertical="center" textRotation="90" wrapText="1"/>
    </xf>
    <xf numFmtId="0" fontId="101" fillId="34" borderId="7" xfId="7" applyFont="1" applyFill="1" applyBorder="1" applyAlignment="1">
      <alignment horizontal="center" vertical="center" textRotation="90" wrapText="1"/>
    </xf>
    <xf numFmtId="0" fontId="108" fillId="35" borderId="2" xfId="7" applyFont="1" applyFill="1" applyBorder="1" applyAlignment="1">
      <alignment horizontal="left" vertical="center" wrapText="1"/>
    </xf>
    <xf numFmtId="0" fontId="108" fillId="35" borderId="177" xfId="7" applyFont="1" applyFill="1" applyBorder="1" applyAlignment="1">
      <alignment horizontal="left" vertical="center" wrapText="1"/>
    </xf>
    <xf numFmtId="0" fontId="108" fillId="35" borderId="178" xfId="7" applyFont="1" applyFill="1" applyBorder="1" applyAlignment="1">
      <alignment horizontal="left" vertical="center" wrapText="1"/>
    </xf>
    <xf numFmtId="0" fontId="108" fillId="35" borderId="179" xfId="7" applyFont="1" applyFill="1" applyBorder="1" applyAlignment="1">
      <alignment horizontal="left" vertical="center" wrapText="1"/>
    </xf>
    <xf numFmtId="0" fontId="101" fillId="34" borderId="0" xfId="7" applyFont="1" applyFill="1" applyAlignment="1">
      <alignment horizontal="center" vertical="center" textRotation="90" wrapText="1"/>
    </xf>
    <xf numFmtId="0" fontId="101" fillId="34" borderId="15" xfId="7" applyFont="1" applyFill="1" applyBorder="1" applyAlignment="1">
      <alignment horizontal="center" vertical="center" textRotation="90" wrapText="1"/>
    </xf>
    <xf numFmtId="0" fontId="101" fillId="34" borderId="178" xfId="7" applyFont="1" applyFill="1" applyBorder="1" applyAlignment="1">
      <alignment horizontal="center" vertical="center" textRotation="90" wrapText="1"/>
    </xf>
    <xf numFmtId="0" fontId="101" fillId="34" borderId="182" xfId="7" applyFont="1" applyFill="1" applyBorder="1" applyAlignment="1">
      <alignment horizontal="center" vertical="center" textRotation="90" wrapText="1"/>
    </xf>
    <xf numFmtId="0" fontId="104" fillId="36" borderId="11" xfId="7" applyFont="1" applyFill="1" applyBorder="1" applyAlignment="1">
      <alignment horizontal="center" vertical="center"/>
    </xf>
    <xf numFmtId="0" fontId="104" fillId="36" borderId="183" xfId="7" applyFont="1" applyFill="1" applyBorder="1" applyAlignment="1">
      <alignment horizontal="center" vertical="center"/>
    </xf>
    <xf numFmtId="0" fontId="110" fillId="36" borderId="173" xfId="7" applyFont="1" applyFill="1" applyBorder="1" applyAlignment="1">
      <alignment horizontal="left" vertical="center" wrapText="1"/>
    </xf>
    <xf numFmtId="0" fontId="110" fillId="36" borderId="184" xfId="7" applyFont="1" applyFill="1" applyBorder="1" applyAlignment="1">
      <alignment horizontal="left" vertical="center" wrapText="1"/>
    </xf>
    <xf numFmtId="0" fontId="92" fillId="30" borderId="0" xfId="7" applyFont="1" applyFill="1" applyAlignment="1">
      <alignment horizontal="center" vertical="center"/>
    </xf>
    <xf numFmtId="0" fontId="99" fillId="31" borderId="58" xfId="7" applyFont="1" applyFill="1" applyBorder="1" applyAlignment="1">
      <alignment horizontal="center" vertical="center"/>
    </xf>
    <xf numFmtId="0" fontId="99" fillId="31" borderId="58" xfId="7" applyFont="1" applyFill="1" applyBorder="1" applyAlignment="1">
      <alignment horizontal="center" vertical="center" wrapText="1"/>
    </xf>
    <xf numFmtId="0" fontId="35" fillId="0" borderId="169" xfId="7" applyFont="1" applyBorder="1" applyAlignment="1" applyProtection="1">
      <alignment horizontal="center" vertical="center" wrapText="1"/>
      <protection hidden="1"/>
    </xf>
    <xf numFmtId="0" fontId="100" fillId="32" borderId="170" xfId="7" applyFont="1" applyFill="1" applyBorder="1" applyAlignment="1">
      <alignment horizontal="center" vertical="center" textRotation="90" wrapText="1"/>
    </xf>
    <xf numFmtId="0" fontId="100" fillId="32" borderId="175" xfId="7" applyFont="1" applyFill="1" applyBorder="1" applyAlignment="1">
      <alignment horizontal="center" vertical="center" textRotation="90" wrapText="1"/>
    </xf>
    <xf numFmtId="0" fontId="101" fillId="32" borderId="13" xfId="7" applyFont="1" applyFill="1" applyBorder="1" applyAlignment="1">
      <alignment horizontal="center" vertical="center" textRotation="90" wrapText="1"/>
    </xf>
    <xf numFmtId="0" fontId="101" fillId="32" borderId="12" xfId="7" applyFont="1" applyFill="1" applyBorder="1" applyAlignment="1">
      <alignment horizontal="center" vertical="center" textRotation="90" wrapText="1"/>
    </xf>
    <xf numFmtId="0" fontId="101" fillId="32" borderId="0" xfId="7" applyFont="1" applyFill="1" applyAlignment="1">
      <alignment horizontal="center" vertical="center" textRotation="90" wrapText="1"/>
    </xf>
    <xf numFmtId="0" fontId="103" fillId="33" borderId="6" xfId="7" applyFont="1" applyFill="1" applyBorder="1" applyAlignment="1">
      <alignment horizontal="center" vertical="center" wrapText="1"/>
    </xf>
    <xf numFmtId="0" fontId="103" fillId="33" borderId="171" xfId="7" applyFont="1" applyFill="1" applyBorder="1" applyAlignment="1">
      <alignment horizontal="center" vertical="center" wrapText="1"/>
    </xf>
    <xf numFmtId="0" fontId="103" fillId="33" borderId="8" xfId="7" applyFont="1" applyFill="1" applyBorder="1" applyAlignment="1">
      <alignment horizontal="center" vertical="center" wrapText="1"/>
    </xf>
    <xf numFmtId="0" fontId="103" fillId="33" borderId="172" xfId="7" applyFont="1" applyFill="1" applyBorder="1" applyAlignment="1">
      <alignment horizontal="center" vertical="center" wrapText="1"/>
    </xf>
    <xf numFmtId="0" fontId="103" fillId="33" borderId="173" xfId="7" applyFont="1" applyFill="1" applyBorder="1" applyAlignment="1">
      <alignment horizontal="left" vertical="center" wrapText="1"/>
    </xf>
    <xf numFmtId="0" fontId="103" fillId="33" borderId="174" xfId="7" applyFont="1" applyFill="1" applyBorder="1" applyAlignment="1">
      <alignment horizontal="left" vertical="center" wrapText="1"/>
    </xf>
    <xf numFmtId="0" fontId="105" fillId="25" borderId="8" xfId="7" applyFont="1" applyFill="1" applyBorder="1" applyAlignment="1">
      <alignment horizontal="center" vertical="center" wrapText="1"/>
    </xf>
    <xf numFmtId="0" fontId="105" fillId="25" borderId="172" xfId="7" applyFont="1" applyFill="1" applyBorder="1" applyAlignment="1">
      <alignment horizontal="center" vertical="center" wrapText="1"/>
    </xf>
    <xf numFmtId="0" fontId="30" fillId="2" borderId="8" xfId="0" applyFont="1" applyFill="1" applyBorder="1" applyAlignment="1">
      <alignment horizontal="center"/>
    </xf>
    <xf numFmtId="0" fontId="30" fillId="2" borderId="10" xfId="0" applyFont="1" applyFill="1" applyBorder="1" applyAlignment="1">
      <alignment horizontal="center"/>
    </xf>
    <xf numFmtId="0" fontId="30" fillId="2" borderId="9" xfId="0" applyFont="1" applyFill="1" applyBorder="1" applyAlignment="1">
      <alignment horizontal="center"/>
    </xf>
    <xf numFmtId="0" fontId="30" fillId="2" borderId="83" xfId="0" applyFont="1" applyFill="1" applyBorder="1" applyAlignment="1">
      <alignment horizontal="center"/>
    </xf>
    <xf numFmtId="0" fontId="30" fillId="2" borderId="85" xfId="0" applyFont="1" applyFill="1" applyBorder="1" applyAlignment="1">
      <alignment horizontal="center"/>
    </xf>
    <xf numFmtId="0" fontId="30" fillId="2" borderId="92" xfId="0" applyFont="1" applyFill="1" applyBorder="1" applyAlignment="1">
      <alignment horizontal="center"/>
    </xf>
    <xf numFmtId="0" fontId="4" fillId="2" borderId="80" xfId="0" applyFont="1" applyFill="1" applyBorder="1"/>
    <xf numFmtId="0" fontId="4" fillId="2" borderId="46" xfId="0" applyFont="1" applyFill="1" applyBorder="1"/>
    <xf numFmtId="0" fontId="4" fillId="2" borderId="69" xfId="0" applyFont="1" applyFill="1" applyBorder="1"/>
    <xf numFmtId="0" fontId="30" fillId="2" borderId="68" xfId="0" applyFont="1" applyFill="1" applyBorder="1"/>
    <xf numFmtId="0" fontId="30" fillId="2" borderId="79" xfId="0" applyFont="1" applyFill="1" applyBorder="1"/>
    <xf numFmtId="0" fontId="30" fillId="2" borderId="81" xfId="0" applyFont="1" applyFill="1" applyBorder="1"/>
    <xf numFmtId="0" fontId="4" fillId="0" borderId="132" xfId="7" applyBorder="1" applyAlignment="1" applyProtection="1">
      <alignment horizontal="center" vertical="center"/>
      <protection hidden="1"/>
    </xf>
    <xf numFmtId="0" fontId="4" fillId="0" borderId="152" xfId="7" applyBorder="1" applyAlignment="1" applyProtection="1">
      <alignment horizontal="center" vertical="center"/>
      <protection hidden="1"/>
    </xf>
    <xf numFmtId="0" fontId="4" fillId="0" borderId="65" xfId="7" applyBorder="1" applyAlignment="1" applyProtection="1">
      <alignment horizontal="center"/>
      <protection hidden="1"/>
    </xf>
    <xf numFmtId="0" fontId="4" fillId="0" borderId="7" xfId="7" applyBorder="1" applyAlignment="1" applyProtection="1">
      <alignment horizontal="center"/>
      <protection hidden="1"/>
    </xf>
    <xf numFmtId="0" fontId="4" fillId="0" borderId="6" xfId="7" applyBorder="1" applyAlignment="1" applyProtection="1">
      <alignment horizontal="center"/>
      <protection hidden="1"/>
    </xf>
    <xf numFmtId="0" fontId="4" fillId="0" borderId="15" xfId="7" applyBorder="1" applyAlignment="1" applyProtection="1">
      <alignment horizontal="center"/>
      <protection hidden="1"/>
    </xf>
    <xf numFmtId="0" fontId="4" fillId="0" borderId="66" xfId="7" applyBorder="1" applyAlignment="1" applyProtection="1">
      <alignment horizontal="center"/>
      <protection hidden="1"/>
    </xf>
    <xf numFmtId="0" fontId="4" fillId="0" borderId="61" xfId="7" applyBorder="1" applyAlignment="1" applyProtection="1">
      <alignment horizontal="center" vertical="center"/>
      <protection hidden="1"/>
    </xf>
    <xf numFmtId="0" fontId="4" fillId="0" borderId="14" xfId="7" applyBorder="1" applyAlignment="1" applyProtection="1">
      <alignment horizontal="center" vertical="center"/>
      <protection hidden="1"/>
    </xf>
    <xf numFmtId="0" fontId="4" fillId="0" borderId="62" xfId="7" applyBorder="1" applyAlignment="1" applyProtection="1">
      <alignment horizontal="center" vertical="center"/>
      <protection hidden="1"/>
    </xf>
    <xf numFmtId="0" fontId="4" fillId="0" borderId="150" xfId="7" applyBorder="1" applyAlignment="1" applyProtection="1">
      <alignment horizontal="center" vertical="center"/>
      <protection hidden="1"/>
    </xf>
    <xf numFmtId="0" fontId="4" fillId="0" borderId="70" xfId="7" applyBorder="1" applyAlignment="1" applyProtection="1">
      <alignment horizontal="center" vertical="center"/>
      <protection hidden="1"/>
    </xf>
    <xf numFmtId="0" fontId="4" fillId="0" borderId="151" xfId="7" applyBorder="1" applyAlignment="1" applyProtection="1">
      <alignment horizontal="center" vertical="center"/>
      <protection hidden="1"/>
    </xf>
    <xf numFmtId="0" fontId="30" fillId="0" borderId="132" xfId="7" applyFont="1" applyBorder="1" applyAlignment="1" applyProtection="1">
      <alignment horizontal="center" vertical="center"/>
      <protection hidden="1"/>
    </xf>
    <xf numFmtId="0" fontId="30" fillId="0" borderId="136" xfId="7" applyFont="1" applyBorder="1" applyAlignment="1" applyProtection="1">
      <alignment horizontal="center" vertical="center"/>
      <protection hidden="1"/>
    </xf>
    <xf numFmtId="0" fontId="30" fillId="0" borderId="140" xfId="7" applyFont="1" applyBorder="1" applyAlignment="1" applyProtection="1">
      <alignment horizontal="center" vertical="center"/>
      <protection hidden="1"/>
    </xf>
    <xf numFmtId="0" fontId="4" fillId="0" borderId="63" xfId="7" applyBorder="1" applyAlignment="1" applyProtection="1">
      <alignment horizontal="center"/>
      <protection hidden="1"/>
    </xf>
    <xf numFmtId="0" fontId="4" fillId="0" borderId="5" xfId="7" applyBorder="1" applyAlignment="1" applyProtection="1">
      <alignment horizontal="center"/>
      <protection hidden="1"/>
    </xf>
    <xf numFmtId="0" fontId="4" fillId="0" borderId="61" xfId="7" applyBorder="1" applyAlignment="1" applyProtection="1">
      <alignment horizontal="center"/>
      <protection hidden="1"/>
    </xf>
    <xf numFmtId="0" fontId="4" fillId="0" borderId="3" xfId="7" applyBorder="1" applyAlignment="1" applyProtection="1">
      <alignment horizontal="center"/>
      <protection hidden="1"/>
    </xf>
    <xf numFmtId="0" fontId="4" fillId="0" borderId="2" xfId="7" applyBorder="1" applyAlignment="1" applyProtection="1">
      <alignment horizontal="center"/>
      <protection hidden="1"/>
    </xf>
    <xf numFmtId="0" fontId="4" fillId="0" borderId="14" xfId="7" applyBorder="1" applyAlignment="1" applyProtection="1">
      <alignment horizontal="center"/>
      <protection hidden="1"/>
    </xf>
    <xf numFmtId="0" fontId="4" fillId="0" borderId="62" xfId="7" applyBorder="1" applyAlignment="1" applyProtection="1">
      <alignment horizontal="center"/>
      <protection hidden="1"/>
    </xf>
    <xf numFmtId="0" fontId="30" fillId="0" borderId="61" xfId="7" applyFont="1" applyBorder="1" applyAlignment="1" applyProtection="1">
      <alignment horizontal="center"/>
      <protection hidden="1"/>
    </xf>
    <xf numFmtId="0" fontId="30" fillId="0" borderId="14" xfId="7" applyFont="1" applyBorder="1" applyAlignment="1" applyProtection="1">
      <alignment horizontal="center"/>
      <protection hidden="1"/>
    </xf>
    <xf numFmtId="0" fontId="30" fillId="0" borderId="11" xfId="7" applyFont="1" applyBorder="1" applyAlignment="1" applyProtection="1">
      <alignment horizontal="center" vertical="center"/>
      <protection hidden="1"/>
    </xf>
    <xf numFmtId="0" fontId="4" fillId="0" borderId="13" xfId="7" applyBorder="1" applyAlignment="1" applyProtection="1">
      <alignment vertical="center"/>
      <protection hidden="1"/>
    </xf>
    <xf numFmtId="0" fontId="4" fillId="0" borderId="118" xfId="7" applyBorder="1" applyAlignment="1" applyProtection="1">
      <alignment vertical="center"/>
      <protection hidden="1"/>
    </xf>
    <xf numFmtId="0" fontId="30" fillId="0" borderId="116" xfId="7" applyFont="1" applyBorder="1" applyAlignment="1" applyProtection="1">
      <alignment horizontal="center" vertical="center"/>
      <protection hidden="1"/>
    </xf>
    <xf numFmtId="0" fontId="30" fillId="0" borderId="60" xfId="7" applyFont="1" applyBorder="1" applyAlignment="1" applyProtection="1">
      <alignment horizontal="center" vertical="center"/>
      <protection hidden="1"/>
    </xf>
    <xf numFmtId="0" fontId="30" fillId="0" borderId="117" xfId="7" applyFont="1" applyBorder="1" applyAlignment="1" applyProtection="1">
      <alignment horizontal="center" vertical="center"/>
      <protection hidden="1"/>
    </xf>
    <xf numFmtId="0" fontId="30" fillId="0" borderId="13" xfId="7" applyFont="1" applyBorder="1" applyAlignment="1" applyProtection="1">
      <alignment horizontal="center" vertical="center"/>
      <protection hidden="1"/>
    </xf>
    <xf numFmtId="0" fontId="30" fillId="0" borderId="118" xfId="7" applyFont="1" applyBorder="1" applyAlignment="1" applyProtection="1">
      <alignment horizontal="center" vertical="center"/>
      <protection hidden="1"/>
    </xf>
    <xf numFmtId="0" fontId="4" fillId="0" borderId="83" xfId="7" applyBorder="1" applyAlignment="1" applyProtection="1">
      <alignment horizontal="center"/>
      <protection hidden="1"/>
    </xf>
    <xf numFmtId="0" fontId="4" fillId="0" borderId="92" xfId="7" applyBorder="1" applyAlignment="1" applyProtection="1">
      <alignment horizontal="center"/>
      <protection hidden="1"/>
    </xf>
    <xf numFmtId="0" fontId="4" fillId="0" borderId="125" xfId="7" applyBorder="1" applyAlignment="1" applyProtection="1">
      <alignment horizontal="center"/>
      <protection hidden="1"/>
    </xf>
    <xf numFmtId="0" fontId="4" fillId="0" borderId="72" xfId="7" applyBorder="1" applyAlignment="1" applyProtection="1">
      <alignment horizontal="center"/>
      <protection hidden="1"/>
    </xf>
    <xf numFmtId="0" fontId="4" fillId="0" borderId="126" xfId="7" applyBorder="1" applyAlignment="1" applyProtection="1">
      <alignment horizontal="center"/>
      <protection hidden="1"/>
    </xf>
    <xf numFmtId="0" fontId="4" fillId="0" borderId="0" xfId="7" applyAlignment="1" applyProtection="1">
      <alignment horizontal="center"/>
      <protection hidden="1"/>
    </xf>
    <xf numFmtId="0" fontId="4" fillId="0" borderId="64" xfId="7" applyBorder="1" applyAlignment="1" applyProtection="1">
      <alignment horizontal="center"/>
      <protection hidden="1"/>
    </xf>
    <xf numFmtId="0" fontId="42" fillId="0" borderId="8" xfId="0" applyFont="1" applyBorder="1" applyAlignment="1">
      <alignment horizontal="center" vertical="center"/>
    </xf>
    <xf numFmtId="0" fontId="42" fillId="0" borderId="9" xfId="0" applyFont="1" applyBorder="1" applyAlignment="1">
      <alignment horizontal="center" vertical="center"/>
    </xf>
    <xf numFmtId="0" fontId="3" fillId="0" borderId="0" xfId="0" applyFont="1" applyAlignment="1">
      <alignment horizontal="center" vertical="center" wrapText="1"/>
    </xf>
    <xf numFmtId="0" fontId="36" fillId="0" borderId="0" xfId="0" applyFont="1" applyAlignment="1">
      <alignment horizontal="center" vertical="center" wrapText="1"/>
    </xf>
    <xf numFmtId="0" fontId="2" fillId="13" borderId="0" xfId="0" applyFont="1" applyFill="1" applyAlignment="1">
      <alignment horizontal="center" vertical="center"/>
    </xf>
    <xf numFmtId="1" fontId="36" fillId="6" borderId="0" xfId="0" applyNumberFormat="1" applyFont="1" applyFill="1" applyAlignment="1">
      <alignment horizontal="center" vertical="center"/>
    </xf>
    <xf numFmtId="0" fontId="3" fillId="0" borderId="0" xfId="0" applyFont="1" applyAlignment="1">
      <alignment horizontal="center" vertical="center"/>
    </xf>
    <xf numFmtId="0" fontId="36" fillId="6" borderId="0" xfId="0" applyFont="1" applyFill="1" applyAlignment="1">
      <alignment horizontal="center" vertical="center" wrapText="1"/>
    </xf>
    <xf numFmtId="169" fontId="0" fillId="0" borderId="0" xfId="0" applyNumberFormat="1" applyAlignment="1">
      <alignment horizontal="center"/>
    </xf>
    <xf numFmtId="169" fontId="0" fillId="0" borderId="5" xfId="0" applyNumberFormat="1" applyBorder="1" applyAlignment="1">
      <alignment horizontal="center"/>
    </xf>
    <xf numFmtId="0" fontId="7" fillId="0" borderId="0" xfId="4" applyFont="1" applyAlignment="1">
      <alignment horizontal="left"/>
    </xf>
    <xf numFmtId="0" fontId="7" fillId="0" borderId="5" xfId="4" applyFont="1" applyBorder="1" applyAlignment="1">
      <alignment horizontal="left"/>
    </xf>
    <xf numFmtId="0" fontId="146" fillId="41" borderId="213" xfId="0" applyFont="1" applyFill="1" applyBorder="1" applyAlignment="1">
      <alignment horizontal="center" vertical="center" wrapText="1"/>
    </xf>
    <xf numFmtId="0" fontId="146" fillId="41" borderId="199" xfId="0" applyFont="1" applyFill="1" applyBorder="1" applyAlignment="1">
      <alignment horizontal="center" vertical="center" wrapText="1"/>
    </xf>
    <xf numFmtId="0" fontId="134" fillId="41" borderId="199" xfId="26" applyFont="1" applyFill="1" applyBorder="1" applyAlignment="1">
      <alignment horizontal="center" vertical="center" wrapText="1"/>
    </xf>
    <xf numFmtId="0" fontId="134" fillId="41" borderId="209" xfId="26" applyFont="1" applyFill="1" applyBorder="1" applyAlignment="1">
      <alignment horizontal="center" vertical="center" wrapText="1"/>
    </xf>
    <xf numFmtId="0" fontId="134" fillId="41" borderId="201" xfId="0" applyFont="1" applyFill="1" applyBorder="1" applyAlignment="1">
      <alignment horizontal="center" vertical="center" wrapText="1"/>
    </xf>
    <xf numFmtId="0" fontId="134" fillId="41" borderId="205" xfId="0" applyFont="1" applyFill="1" applyBorder="1" applyAlignment="1">
      <alignment horizontal="center" vertical="center" wrapText="1"/>
    </xf>
    <xf numFmtId="0" fontId="134" fillId="41" borderId="211" xfId="0" applyFont="1" applyFill="1" applyBorder="1" applyAlignment="1">
      <alignment horizontal="center" vertical="center" wrapText="1"/>
    </xf>
    <xf numFmtId="0" fontId="134" fillId="41" borderId="199" xfId="0" applyFont="1" applyFill="1" applyBorder="1" applyAlignment="1">
      <alignment horizontal="center" vertical="center" wrapText="1"/>
    </xf>
    <xf numFmtId="0" fontId="134" fillId="41" borderId="199" xfId="0" applyFont="1" applyFill="1" applyBorder="1" applyAlignment="1">
      <alignment horizontal="center" vertical="center"/>
    </xf>
    <xf numFmtId="0" fontId="134" fillId="41" borderId="209" xfId="0" applyFont="1" applyFill="1" applyBorder="1" applyAlignment="1">
      <alignment horizontal="center" vertical="center"/>
    </xf>
    <xf numFmtId="0" fontId="134" fillId="41" borderId="209" xfId="0" applyFont="1" applyFill="1" applyBorder="1" applyAlignment="1">
      <alignment horizontal="center" vertical="center" wrapText="1"/>
    </xf>
    <xf numFmtId="0" fontId="78" fillId="0" borderId="80" xfId="0" applyFont="1" applyBorder="1" applyAlignment="1">
      <alignment horizontal="center" vertical="center"/>
    </xf>
    <xf numFmtId="0" fontId="78" fillId="0" borderId="69" xfId="0" applyFont="1" applyBorder="1" applyAlignment="1">
      <alignment horizontal="center" vertical="center"/>
    </xf>
    <xf numFmtId="0" fontId="78" fillId="0" borderId="68" xfId="0" applyFont="1" applyBorder="1" applyAlignment="1">
      <alignment horizontal="center" vertical="center"/>
    </xf>
    <xf numFmtId="0" fontId="78" fillId="0" borderId="81" xfId="0" applyFont="1" applyBorder="1" applyAlignment="1">
      <alignment horizontal="center" vertical="center"/>
    </xf>
    <xf numFmtId="0" fontId="79" fillId="0" borderId="8" xfId="0" applyFont="1" applyBorder="1" applyAlignment="1">
      <alignment horizontal="center"/>
    </xf>
    <xf numFmtId="0" fontId="79" fillId="0" borderId="9" xfId="0" applyFont="1" applyBorder="1" applyAlignment="1">
      <alignment horizontal="center"/>
    </xf>
    <xf numFmtId="0" fontId="3" fillId="0" borderId="22" xfId="4" applyFont="1" applyBorder="1" applyAlignment="1">
      <alignment horizontal="center" vertical="center"/>
    </xf>
    <xf numFmtId="0" fontId="3" fillId="0" borderId="23" xfId="4" applyFont="1" applyBorder="1" applyAlignment="1">
      <alignment horizontal="center" vertical="center"/>
    </xf>
    <xf numFmtId="0" fontId="3" fillId="0" borderId="24" xfId="4" applyFont="1" applyBorder="1" applyAlignment="1">
      <alignment horizontal="center" vertical="center"/>
    </xf>
    <xf numFmtId="0" fontId="2" fillId="5" borderId="156" xfId="2" applyFont="1" applyFill="1" applyBorder="1" applyAlignment="1">
      <alignment horizontal="center" vertical="center"/>
    </xf>
    <xf numFmtId="0" fontId="2" fillId="5" borderId="154" xfId="2" applyFont="1" applyFill="1" applyBorder="1" applyAlignment="1">
      <alignment horizontal="center" vertical="center"/>
    </xf>
    <xf numFmtId="167" fontId="2" fillId="5" borderId="71" xfId="2" applyNumberFormat="1" applyFont="1" applyFill="1" applyBorder="1" applyAlignment="1">
      <alignment horizontal="center" vertical="center"/>
    </xf>
    <xf numFmtId="167" fontId="2" fillId="5" borderId="72" xfId="2" applyNumberFormat="1" applyFont="1" applyFill="1" applyBorder="1" applyAlignment="1">
      <alignment horizontal="center" vertical="center"/>
    </xf>
    <xf numFmtId="167" fontId="2" fillId="5" borderId="73" xfId="2" applyNumberFormat="1" applyFont="1" applyFill="1" applyBorder="1" applyAlignment="1">
      <alignment horizontal="center" vertical="center"/>
    </xf>
    <xf numFmtId="167" fontId="2" fillId="5" borderId="6" xfId="2" applyNumberFormat="1" applyFont="1" applyFill="1" applyBorder="1" applyAlignment="1">
      <alignment horizontal="center" vertical="center"/>
    </xf>
    <xf numFmtId="167" fontId="2" fillId="5" borderId="15" xfId="2" applyNumberFormat="1" applyFont="1" applyFill="1" applyBorder="1" applyAlignment="1">
      <alignment horizontal="center" vertical="center"/>
    </xf>
    <xf numFmtId="167" fontId="2" fillId="5" borderId="7" xfId="2" applyNumberFormat="1" applyFont="1" applyFill="1" applyBorder="1" applyAlignment="1">
      <alignment horizontal="center" vertical="center"/>
    </xf>
    <xf numFmtId="0" fontId="154" fillId="2" borderId="4" xfId="2" applyFont="1" applyFill="1" applyBorder="1" applyAlignment="1">
      <alignment horizontal="center"/>
    </xf>
    <xf numFmtId="0" fontId="154" fillId="2" borderId="0" xfId="2" applyFont="1" applyFill="1" applyAlignment="1">
      <alignment horizontal="center"/>
    </xf>
    <xf numFmtId="0" fontId="154" fillId="2" borderId="5" xfId="2" applyFont="1" applyFill="1" applyBorder="1" applyAlignment="1">
      <alignment horizontal="center"/>
    </xf>
    <xf numFmtId="0" fontId="119" fillId="0" borderId="37" xfId="4" applyFont="1" applyBorder="1" applyAlignment="1">
      <alignment horizontal="left" vertical="center"/>
    </xf>
    <xf numFmtId="0" fontId="119" fillId="0" borderId="20" xfId="4" applyFont="1" applyBorder="1" applyAlignment="1">
      <alignment horizontal="left" vertical="center"/>
    </xf>
    <xf numFmtId="0" fontId="119" fillId="0" borderId="21" xfId="4" applyFont="1" applyBorder="1" applyAlignment="1">
      <alignment horizontal="left" vertical="center"/>
    </xf>
    <xf numFmtId="0" fontId="143" fillId="5" borderId="22" xfId="2" applyFont="1" applyFill="1" applyBorder="1" applyAlignment="1">
      <alignment horizontal="center" vertical="center"/>
    </xf>
    <xf numFmtId="0" fontId="143" fillId="5" borderId="24" xfId="2" applyFont="1" applyFill="1" applyBorder="1" applyAlignment="1">
      <alignment horizontal="center" vertical="center"/>
    </xf>
    <xf numFmtId="0" fontId="146" fillId="41" borderId="212" xfId="0" applyFont="1" applyFill="1" applyBorder="1" applyAlignment="1">
      <alignment horizontal="center" vertical="center"/>
    </xf>
    <xf numFmtId="0" fontId="146" fillId="41" borderId="217" xfId="0" applyFont="1" applyFill="1" applyBorder="1" applyAlignment="1">
      <alignment horizontal="center" vertical="center"/>
    </xf>
    <xf numFmtId="0" fontId="2" fillId="5" borderId="165" xfId="2" applyFont="1" applyFill="1" applyBorder="1" applyAlignment="1">
      <alignment horizontal="center" vertical="center"/>
    </xf>
    <xf numFmtId="0" fontId="2" fillId="5" borderId="166" xfId="2" applyFont="1" applyFill="1" applyBorder="1" applyAlignment="1">
      <alignment horizontal="center" vertical="center"/>
    </xf>
    <xf numFmtId="0" fontId="0" fillId="0" borderId="22" xfId="0" applyBorder="1" applyAlignment="1">
      <alignment horizontal="left"/>
    </xf>
    <xf numFmtId="0" fontId="0" fillId="0" borderId="24" xfId="0" applyBorder="1" applyAlignment="1">
      <alignment horizontal="left"/>
    </xf>
    <xf numFmtId="0" fontId="134" fillId="41" borderId="200" xfId="0" applyFont="1" applyFill="1" applyBorder="1" applyAlignment="1">
      <alignment horizontal="center" vertical="center" wrapText="1"/>
    </xf>
    <xf numFmtId="0" fontId="134" fillId="41" borderId="204" xfId="0" applyFont="1" applyFill="1" applyBorder="1" applyAlignment="1">
      <alignment horizontal="center" vertical="center" wrapText="1"/>
    </xf>
    <xf numFmtId="0" fontId="134" fillId="41" borderId="210" xfId="0" applyFont="1" applyFill="1" applyBorder="1" applyAlignment="1">
      <alignment horizontal="center" vertical="center" wrapText="1"/>
    </xf>
    <xf numFmtId="0" fontId="134" fillId="41" borderId="202" xfId="0" applyFont="1" applyFill="1" applyBorder="1" applyAlignment="1">
      <alignment horizontal="center" vertical="center" wrapText="1"/>
    </xf>
    <xf numFmtId="0" fontId="134" fillId="41" borderId="206" xfId="0" applyFont="1" applyFill="1" applyBorder="1" applyAlignment="1">
      <alignment horizontal="center" vertical="center" wrapText="1"/>
    </xf>
    <xf numFmtId="0" fontId="134" fillId="41" borderId="207" xfId="0" applyFont="1" applyFill="1" applyBorder="1" applyAlignment="1">
      <alignment horizontal="center" vertical="center" wrapText="1"/>
    </xf>
    <xf numFmtId="0" fontId="134" fillId="41" borderId="203" xfId="0" applyFont="1" applyFill="1" applyBorder="1" applyAlignment="1">
      <alignment horizontal="center" vertical="center" wrapText="1"/>
    </xf>
    <xf numFmtId="1" fontId="134" fillId="41" borderId="199" xfId="0" applyNumberFormat="1" applyFont="1" applyFill="1" applyBorder="1" applyAlignment="1">
      <alignment horizontal="center" vertical="center" wrapText="1"/>
    </xf>
    <xf numFmtId="1" fontId="134" fillId="41" borderId="199" xfId="0" applyNumberFormat="1" applyFont="1" applyFill="1" applyBorder="1" applyAlignment="1">
      <alignment horizontal="center" vertical="center"/>
    </xf>
    <xf numFmtId="0" fontId="0" fillId="0" borderId="83" xfId="0" applyBorder="1" applyAlignment="1">
      <alignment horizontal="center"/>
    </xf>
    <xf numFmtId="0" fontId="0" fillId="0" borderId="85" xfId="0" applyBorder="1" applyAlignment="1">
      <alignment horizontal="center"/>
    </xf>
    <xf numFmtId="0" fontId="0" fillId="0" borderId="92" xfId="0" applyBorder="1" applyAlignment="1">
      <alignment horizontal="center"/>
    </xf>
    <xf numFmtId="0" fontId="0" fillId="0" borderId="6" xfId="0" applyBorder="1" applyAlignment="1">
      <alignment horizontal="center"/>
    </xf>
    <xf numFmtId="0" fontId="0" fillId="0" borderId="15" xfId="0" applyBorder="1" applyAlignment="1">
      <alignment horizontal="center"/>
    </xf>
    <xf numFmtId="0" fontId="0" fillId="0" borderId="7" xfId="0" applyBorder="1" applyAlignment="1">
      <alignment horizontal="center"/>
    </xf>
    <xf numFmtId="0" fontId="0" fillId="0" borderId="192" xfId="0" applyBorder="1" applyAlignment="1">
      <alignment horizontal="center"/>
    </xf>
    <xf numFmtId="0" fontId="0" fillId="0" borderId="40" xfId="0" applyBorder="1" applyAlignment="1">
      <alignment horizontal="center"/>
    </xf>
    <xf numFmtId="0" fontId="84" fillId="0" borderId="83" xfId="0" applyFont="1" applyBorder="1" applyAlignment="1">
      <alignment horizontal="center" vertical="center"/>
    </xf>
    <xf numFmtId="0" fontId="84" fillId="0" borderId="85" xfId="0" applyFont="1" applyBorder="1" applyAlignment="1">
      <alignment horizontal="center" vertical="center"/>
    </xf>
    <xf numFmtId="0" fontId="84" fillId="0" borderId="92" xfId="0" applyFont="1" applyBorder="1" applyAlignment="1">
      <alignment horizontal="center" vertical="center"/>
    </xf>
    <xf numFmtId="0" fontId="86" fillId="0" borderId="83" xfId="0" applyFont="1" applyBorder="1" applyAlignment="1">
      <alignment horizontal="center"/>
    </xf>
    <xf numFmtId="0" fontId="86" fillId="0" borderId="92" xfId="0" applyFont="1" applyBorder="1" applyAlignment="1">
      <alignment horizontal="center"/>
    </xf>
    <xf numFmtId="0" fontId="155" fillId="6" borderId="1" xfId="0" applyFont="1" applyFill="1" applyBorder="1" applyAlignment="1">
      <alignment horizontal="center" vertical="center"/>
    </xf>
    <xf numFmtId="0" fontId="155" fillId="0" borderId="8" xfId="0" applyFont="1" applyBorder="1" applyAlignment="1">
      <alignment horizontal="center" vertical="center" wrapText="1"/>
    </xf>
    <xf numFmtId="0" fontId="155" fillId="0" borderId="9" xfId="0" applyFont="1" applyBorder="1" applyAlignment="1">
      <alignment horizontal="center" vertical="center" wrapText="1"/>
    </xf>
    <xf numFmtId="0" fontId="155" fillId="0" borderId="1" xfId="0" applyFont="1" applyBorder="1" applyAlignment="1">
      <alignment horizontal="center" vertical="center" wrapText="1"/>
    </xf>
    <xf numFmtId="0" fontId="155" fillId="6" borderId="11" xfId="0" applyFont="1" applyFill="1" applyBorder="1" applyAlignment="1">
      <alignment horizontal="center" vertical="center" wrapText="1"/>
    </xf>
    <xf numFmtId="0" fontId="155" fillId="6" borderId="12" xfId="0" applyFont="1" applyFill="1" applyBorder="1" applyAlignment="1">
      <alignment horizontal="center" vertical="center" wrapText="1"/>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xf>
    <xf numFmtId="0" fontId="134" fillId="41" borderId="198" xfId="0" applyFont="1" applyFill="1" applyBorder="1" applyAlignment="1">
      <alignment horizontal="center" vertical="center" wrapText="1"/>
    </xf>
    <xf numFmtId="0" fontId="134" fillId="41" borderId="208" xfId="0" applyFont="1" applyFill="1" applyBorder="1" applyAlignment="1">
      <alignment horizontal="center" vertical="center" wrapText="1"/>
    </xf>
    <xf numFmtId="2" fontId="6" fillId="0" borderId="1" xfId="24" applyNumberFormat="1" applyFont="1" applyBorder="1" applyAlignment="1">
      <alignment horizontal="center"/>
    </xf>
    <xf numFmtId="0" fontId="79" fillId="0" borderId="119" xfId="0" applyFont="1" applyBorder="1" applyAlignment="1">
      <alignment horizontal="center"/>
    </xf>
    <xf numFmtId="2" fontId="36" fillId="0" borderId="122" xfId="24" applyNumberFormat="1" applyFont="1" applyBorder="1" applyAlignment="1">
      <alignment horizontal="center"/>
    </xf>
    <xf numFmtId="0" fontId="130" fillId="27" borderId="8" xfId="3" applyFont="1" applyFill="1" applyBorder="1" applyAlignment="1">
      <alignment horizontal="center" vertical="center"/>
    </xf>
    <xf numFmtId="0" fontId="130" fillId="27" borderId="10" xfId="3" applyFont="1" applyFill="1" applyBorder="1" applyAlignment="1">
      <alignment horizontal="center" vertical="center"/>
    </xf>
    <xf numFmtId="0" fontId="130" fillId="27" borderId="9" xfId="3" applyFont="1" applyFill="1" applyBorder="1" applyAlignment="1">
      <alignment horizontal="center" vertical="center"/>
    </xf>
    <xf numFmtId="0" fontId="30" fillId="2" borderId="1" xfId="0" applyFont="1" applyFill="1" applyBorder="1" applyAlignment="1">
      <alignment horizontal="center"/>
    </xf>
    <xf numFmtId="0" fontId="0" fillId="0" borderId="38" xfId="0" applyBorder="1" applyAlignment="1">
      <alignment horizontal="left"/>
    </xf>
    <xf numFmtId="0" fontId="0" fillId="0" borderId="39" xfId="0" quotePrefix="1" applyBorder="1" applyAlignment="1">
      <alignment horizontal="left"/>
    </xf>
    <xf numFmtId="14" fontId="10" fillId="0" borderId="15" xfId="0" applyNumberFormat="1" applyFont="1" applyBorder="1" applyAlignment="1">
      <alignment horizontal="center" vertical="center"/>
    </xf>
    <xf numFmtId="14" fontId="10" fillId="0" borderId="7" xfId="0" applyNumberFormat="1" applyFont="1" applyBorder="1" applyAlignment="1">
      <alignment horizontal="center" vertical="center"/>
    </xf>
    <xf numFmtId="0" fontId="116" fillId="0" borderId="1" xfId="0" applyFont="1" applyBorder="1" applyAlignment="1">
      <alignment horizontal="left" vertical="center"/>
    </xf>
    <xf numFmtId="0" fontId="0" fillId="0" borderId="39" xfId="0" applyBorder="1" applyAlignment="1">
      <alignment horizontal="left"/>
    </xf>
    <xf numFmtId="0" fontId="0" fillId="0" borderId="12" xfId="0" applyBorder="1" applyAlignment="1">
      <alignment horizontal="left"/>
    </xf>
    <xf numFmtId="0" fontId="20" fillId="0" borderId="39" xfId="0" applyFont="1" applyBorder="1" applyAlignment="1">
      <alignment horizontal="left"/>
    </xf>
    <xf numFmtId="0" fontId="86" fillId="0" borderId="12" xfId="0" applyFont="1" applyBorder="1" applyAlignment="1">
      <alignment horizontal="left"/>
    </xf>
    <xf numFmtId="2" fontId="120" fillId="6" borderId="37" xfId="4" applyNumberFormat="1" applyFont="1" applyFill="1" applyBorder="1" applyAlignment="1" applyProtection="1">
      <alignment horizontal="center" vertical="center"/>
      <protection locked="0"/>
    </xf>
    <xf numFmtId="2" fontId="120" fillId="6" borderId="21" xfId="4" applyNumberFormat="1" applyFont="1" applyFill="1" applyBorder="1" applyAlignment="1" applyProtection="1">
      <alignment horizontal="center" vertical="center"/>
      <protection locked="0"/>
    </xf>
    <xf numFmtId="2" fontId="6" fillId="0" borderId="37" xfId="4" applyNumberFormat="1" applyFont="1" applyBorder="1" applyAlignment="1" applyProtection="1">
      <alignment horizontal="center" vertical="center"/>
      <protection hidden="1"/>
    </xf>
    <xf numFmtId="2" fontId="6" fillId="0" borderId="20" xfId="4" applyNumberFormat="1" applyFont="1" applyBorder="1" applyAlignment="1" applyProtection="1">
      <alignment horizontal="center" vertical="center"/>
      <protection hidden="1"/>
    </xf>
    <xf numFmtId="2" fontId="6" fillId="0" borderId="21" xfId="4" applyNumberFormat="1" applyFont="1" applyBorder="1" applyAlignment="1" applyProtection="1">
      <alignment horizontal="center" vertical="center"/>
      <protection hidden="1"/>
    </xf>
    <xf numFmtId="2" fontId="6" fillId="6" borderId="37" xfId="4" applyNumberFormat="1" applyFont="1" applyFill="1" applyBorder="1" applyAlignment="1" applyProtection="1">
      <alignment horizontal="center" vertical="center"/>
      <protection locked="0"/>
    </xf>
    <xf numFmtId="2" fontId="6" fillId="6" borderId="20" xfId="4" applyNumberFormat="1" applyFont="1" applyFill="1" applyBorder="1" applyAlignment="1" applyProtection="1">
      <alignment horizontal="center" vertical="center"/>
      <protection locked="0"/>
    </xf>
    <xf numFmtId="2" fontId="6" fillId="6" borderId="21" xfId="4" applyNumberFormat="1" applyFont="1" applyFill="1" applyBorder="1" applyAlignment="1" applyProtection="1">
      <alignment horizontal="center" vertical="center"/>
      <protection locked="0"/>
    </xf>
    <xf numFmtId="0" fontId="120" fillId="4" borderId="22" xfId="4" applyFont="1" applyFill="1" applyBorder="1" applyAlignment="1" applyProtection="1">
      <alignment horizontal="center" vertical="center"/>
      <protection locked="0"/>
    </xf>
    <xf numFmtId="0" fontId="120" fillId="4" borderId="24" xfId="4" applyFont="1" applyFill="1" applyBorder="1" applyAlignment="1" applyProtection="1">
      <alignment horizontal="center" vertical="center"/>
      <protection locked="0"/>
    </xf>
    <xf numFmtId="14" fontId="120" fillId="0" borderId="20" xfId="12" applyNumberFormat="1" applyFont="1" applyBorder="1" applyAlignment="1">
      <alignment horizontal="left" vertical="center" indent="1"/>
    </xf>
    <xf numFmtId="2" fontId="123" fillId="0" borderId="37" xfId="4" applyNumberFormat="1" applyFont="1" applyBorder="1" applyAlignment="1" applyProtection="1">
      <alignment horizontal="center" vertical="center"/>
      <protection hidden="1"/>
    </xf>
    <xf numFmtId="2" fontId="123" fillId="0" borderId="21" xfId="4" applyNumberFormat="1" applyFont="1" applyBorder="1" applyAlignment="1" applyProtection="1">
      <alignment horizontal="center" vertical="center"/>
      <protection hidden="1"/>
    </xf>
    <xf numFmtId="4" fontId="120" fillId="4" borderId="37" xfId="4" applyNumberFormat="1" applyFont="1" applyFill="1" applyBorder="1" applyAlignment="1">
      <alignment horizontal="center" vertical="center"/>
    </xf>
    <xf numFmtId="4" fontId="120" fillId="4" borderId="21" xfId="4" applyNumberFormat="1" applyFont="1" applyFill="1" applyBorder="1" applyAlignment="1">
      <alignment horizontal="center" vertical="center"/>
    </xf>
    <xf numFmtId="4" fontId="6" fillId="4" borderId="37" xfId="4" applyNumberFormat="1" applyFont="1" applyFill="1" applyBorder="1" applyAlignment="1">
      <alignment horizontal="center" vertical="center"/>
    </xf>
    <xf numFmtId="4" fontId="6" fillId="4" borderId="21" xfId="4" applyNumberFormat="1" applyFont="1" applyFill="1" applyBorder="1" applyAlignment="1">
      <alignment horizontal="center" vertical="center"/>
    </xf>
    <xf numFmtId="2" fontId="120" fillId="0" borderId="37" xfId="4" applyNumberFormat="1" applyFont="1" applyBorder="1" applyAlignment="1" applyProtection="1">
      <alignment horizontal="center" vertical="center"/>
      <protection hidden="1"/>
    </xf>
    <xf numFmtId="2" fontId="120" fillId="0" borderId="21" xfId="4" applyNumberFormat="1" applyFont="1" applyBorder="1" applyAlignment="1" applyProtection="1">
      <alignment horizontal="center" vertical="center"/>
      <protection hidden="1"/>
    </xf>
    <xf numFmtId="0" fontId="6" fillId="4" borderId="22" xfId="4" applyFont="1" applyFill="1" applyBorder="1" applyAlignment="1" applyProtection="1">
      <alignment horizontal="center" vertical="center"/>
      <protection locked="0"/>
    </xf>
    <xf numFmtId="0" fontId="6" fillId="4" borderId="24" xfId="4" applyFont="1" applyFill="1" applyBorder="1" applyAlignment="1" applyProtection="1">
      <alignment horizontal="center" vertical="center"/>
      <protection locked="0"/>
    </xf>
    <xf numFmtId="0" fontId="80" fillId="0" borderId="2" xfId="4" applyFont="1" applyBorder="1" applyAlignment="1">
      <alignment horizontal="center" vertical="center"/>
    </xf>
    <xf numFmtId="0" fontId="80" fillId="0" borderId="14" xfId="4" applyFont="1" applyBorder="1" applyAlignment="1">
      <alignment horizontal="center" vertical="center"/>
    </xf>
    <xf numFmtId="0" fontId="80" fillId="0" borderId="3" xfId="4" applyFont="1" applyBorder="1" applyAlignment="1">
      <alignment horizontal="center" vertical="center"/>
    </xf>
    <xf numFmtId="14" fontId="120" fillId="0" borderId="21" xfId="12" applyNumberFormat="1" applyFont="1" applyBorder="1" applyAlignment="1">
      <alignment horizontal="left" vertical="center" indent="1"/>
    </xf>
    <xf numFmtId="0" fontId="36" fillId="12" borderId="74" xfId="4" applyFont="1" applyFill="1" applyBorder="1" applyAlignment="1">
      <alignment horizontal="center" vertical="center"/>
    </xf>
    <xf numFmtId="0" fontId="36" fillId="12" borderId="75" xfId="4" applyFont="1" applyFill="1" applyBorder="1" applyAlignment="1">
      <alignment horizontal="center" vertical="center"/>
    </xf>
    <xf numFmtId="0" fontId="36" fillId="12" borderId="76" xfId="4" applyFont="1" applyFill="1" applyBorder="1" applyAlignment="1">
      <alignment horizontal="center" vertical="center"/>
    </xf>
    <xf numFmtId="0" fontId="36" fillId="12" borderId="8" xfId="4" applyFont="1" applyFill="1" applyBorder="1" applyAlignment="1">
      <alignment horizontal="center" vertical="center"/>
    </xf>
    <xf numFmtId="0" fontId="36" fillId="12" borderId="10" xfId="4" applyFont="1" applyFill="1" applyBorder="1" applyAlignment="1">
      <alignment horizontal="center" vertical="center"/>
    </xf>
    <xf numFmtId="0" fontId="36" fillId="12" borderId="9" xfId="4" applyFont="1" applyFill="1" applyBorder="1" applyAlignment="1">
      <alignment horizontal="center" vertical="center"/>
    </xf>
    <xf numFmtId="175" fontId="120" fillId="4" borderId="16" xfId="4" applyNumberFormat="1" applyFont="1" applyFill="1" applyBorder="1" applyAlignment="1">
      <alignment horizontal="center" vertical="center"/>
    </xf>
    <xf numFmtId="175" fontId="120" fillId="4" borderId="18" xfId="4" applyNumberFormat="1" applyFont="1" applyFill="1" applyBorder="1" applyAlignment="1">
      <alignment horizontal="center" vertical="center"/>
    </xf>
    <xf numFmtId="4" fontId="120" fillId="4" borderId="37" xfId="4" applyNumberFormat="1" applyFont="1" applyFill="1" applyBorder="1" applyAlignment="1" applyProtection="1">
      <alignment horizontal="center" vertical="center"/>
      <protection locked="0"/>
    </xf>
    <xf numFmtId="4" fontId="120" fillId="4" borderId="21" xfId="4" applyNumberFormat="1" applyFont="1" applyFill="1" applyBorder="1" applyAlignment="1" applyProtection="1">
      <alignment horizontal="center" vertical="center"/>
      <protection locked="0"/>
    </xf>
    <xf numFmtId="9" fontId="6" fillId="13" borderId="1" xfId="4" applyNumberFormat="1" applyFont="1" applyFill="1" applyBorder="1" applyAlignment="1">
      <alignment horizontal="center" vertical="center"/>
    </xf>
    <xf numFmtId="2" fontId="6" fillId="0" borderId="22" xfId="4" applyNumberFormat="1" applyFont="1" applyBorder="1" applyAlignment="1" applyProtection="1">
      <alignment horizontal="center" vertical="center"/>
      <protection hidden="1"/>
    </xf>
    <xf numFmtId="2" fontId="6" fillId="0" borderId="23" xfId="4" applyNumberFormat="1" applyFont="1" applyBorder="1" applyAlignment="1" applyProtection="1">
      <alignment horizontal="center" vertical="center"/>
      <protection hidden="1"/>
    </xf>
    <xf numFmtId="2" fontId="6" fillId="0" borderId="24" xfId="4" applyNumberFormat="1" applyFont="1" applyBorder="1" applyAlignment="1" applyProtection="1">
      <alignment horizontal="center" vertical="center"/>
      <protection hidden="1"/>
    </xf>
    <xf numFmtId="2" fontId="123" fillId="0" borderId="22" xfId="4" applyNumberFormat="1" applyFont="1" applyBorder="1" applyAlignment="1" applyProtection="1">
      <alignment horizontal="center" vertical="center"/>
      <protection hidden="1"/>
    </xf>
    <xf numFmtId="2" fontId="123" fillId="0" borderId="23" xfId="4" applyNumberFormat="1" applyFont="1" applyBorder="1" applyAlignment="1" applyProtection="1">
      <alignment horizontal="center" vertical="center"/>
      <protection hidden="1"/>
    </xf>
    <xf numFmtId="2" fontId="123" fillId="0" borderId="24" xfId="4" applyNumberFormat="1" applyFont="1" applyBorder="1" applyAlignment="1" applyProtection="1">
      <alignment horizontal="center" vertical="center"/>
      <protection hidden="1"/>
    </xf>
    <xf numFmtId="0" fontId="117" fillId="6" borderId="8" xfId="1" applyFont="1" applyFill="1" applyBorder="1" applyAlignment="1">
      <alignment horizontal="center" vertical="center"/>
    </xf>
    <xf numFmtId="0" fontId="117" fillId="6" borderId="10" xfId="1" applyFont="1" applyFill="1" applyBorder="1" applyAlignment="1">
      <alignment horizontal="center" vertical="center"/>
    </xf>
    <xf numFmtId="0" fontId="117" fillId="6" borderId="9" xfId="1" applyFont="1" applyFill="1" applyBorder="1" applyAlignment="1">
      <alignment horizontal="center" vertical="center"/>
    </xf>
    <xf numFmtId="179" fontId="120" fillId="0" borderId="158" xfId="1" applyNumberFormat="1" applyFont="1" applyBorder="1" applyAlignment="1">
      <alignment horizontal="left" vertical="center"/>
    </xf>
    <xf numFmtId="180" fontId="120" fillId="0" borderId="158" xfId="3" applyNumberFormat="1" applyFont="1" applyBorder="1" applyAlignment="1">
      <alignment horizontal="left" vertical="center"/>
    </xf>
    <xf numFmtId="174" fontId="120" fillId="4" borderId="16" xfId="4" applyNumberFormat="1" applyFont="1" applyFill="1" applyBorder="1" applyAlignment="1">
      <alignment horizontal="center" vertical="center"/>
    </xf>
    <xf numFmtId="174" fontId="120" fillId="4" borderId="18" xfId="4" applyNumberFormat="1" applyFont="1" applyFill="1" applyBorder="1" applyAlignment="1">
      <alignment horizontal="center" vertical="center"/>
    </xf>
    <xf numFmtId="174" fontId="6" fillId="4" borderId="16" xfId="4" applyNumberFormat="1" applyFont="1" applyFill="1" applyBorder="1" applyAlignment="1">
      <alignment horizontal="center" vertical="center"/>
    </xf>
    <xf numFmtId="174" fontId="6" fillId="4" borderId="18" xfId="4" applyNumberFormat="1" applyFont="1" applyFill="1" applyBorder="1" applyAlignment="1">
      <alignment horizontal="center" vertical="center"/>
    </xf>
    <xf numFmtId="0" fontId="144" fillId="0" borderId="8" xfId="4" applyFont="1" applyBorder="1" applyAlignment="1">
      <alignment horizontal="center"/>
    </xf>
    <xf numFmtId="0" fontId="144" fillId="0" borderId="10" xfId="4" applyFont="1" applyBorder="1" applyAlignment="1">
      <alignment horizontal="center"/>
    </xf>
    <xf numFmtId="0" fontId="144" fillId="0" borderId="9" xfId="4" applyFont="1" applyBorder="1" applyAlignment="1">
      <alignment horizontal="center"/>
    </xf>
    <xf numFmtId="0" fontId="6" fillId="13" borderId="1" xfId="4" applyFont="1" applyFill="1" applyBorder="1" applyAlignment="1">
      <alignment horizontal="center" vertical="center"/>
    </xf>
    <xf numFmtId="0" fontId="7" fillId="0" borderId="1" xfId="4" applyFont="1" applyBorder="1" applyAlignment="1">
      <alignment horizontal="center" wrapText="1"/>
    </xf>
    <xf numFmtId="0" fontId="36" fillId="13" borderId="8" xfId="4" applyFont="1" applyFill="1" applyBorder="1" applyAlignment="1">
      <alignment horizontal="center" vertical="center"/>
    </xf>
    <xf numFmtId="0" fontId="36" fillId="13" borderId="10" xfId="4" applyFont="1" applyFill="1" applyBorder="1" applyAlignment="1">
      <alignment horizontal="center" vertical="center"/>
    </xf>
    <xf numFmtId="0" fontId="36" fillId="13" borderId="9" xfId="4" applyFont="1" applyFill="1" applyBorder="1" applyAlignment="1">
      <alignment horizontal="center" vertical="center"/>
    </xf>
    <xf numFmtId="1" fontId="123" fillId="13" borderId="8" xfId="4" applyNumberFormat="1" applyFont="1" applyFill="1" applyBorder="1" applyAlignment="1">
      <alignment horizontal="center" vertical="center"/>
    </xf>
    <xf numFmtId="1" fontId="123" fillId="13" borderId="9" xfId="4" applyNumberFormat="1" applyFont="1" applyFill="1" applyBorder="1" applyAlignment="1">
      <alignment horizontal="center" vertical="center"/>
    </xf>
    <xf numFmtId="0" fontId="39" fillId="0" borderId="187" xfId="4" applyFont="1" applyBorder="1" applyAlignment="1">
      <alignment horizontal="center"/>
    </xf>
    <xf numFmtId="0" fontId="39" fillId="0" borderId="188" xfId="4" applyFont="1" applyBorder="1" applyAlignment="1">
      <alignment horizontal="center"/>
    </xf>
    <xf numFmtId="0" fontId="39" fillId="0" borderId="189" xfId="4" applyFont="1" applyBorder="1" applyAlignment="1">
      <alignment horizontal="center"/>
    </xf>
    <xf numFmtId="0" fontId="36" fillId="13" borderId="1" xfId="4" applyFont="1" applyFill="1" applyBorder="1" applyAlignment="1">
      <alignment horizontal="center" vertical="center"/>
    </xf>
  </cellXfs>
  <cellStyles count="28">
    <cellStyle name="Euro" xfId="9" xr:uid="{00000000-0005-0000-0000-000000000000}"/>
    <cellStyle name="Hipervínculo" xfId="6" builtinId="8"/>
    <cellStyle name="Migliaia_Ensayos-1" xfId="10" xr:uid="{00000000-0005-0000-0000-000002000000}"/>
    <cellStyle name="Millares 2" xfId="8" xr:uid="{00000000-0005-0000-0000-000003000000}"/>
    <cellStyle name="Millares 2 2" xfId="11" xr:uid="{00000000-0005-0000-0000-000004000000}"/>
    <cellStyle name="Normal" xfId="0" builtinId="0"/>
    <cellStyle name="Normal 2" xfId="1" xr:uid="{00000000-0005-0000-0000-000006000000}"/>
    <cellStyle name="Normal 2 2" xfId="7" xr:uid="{00000000-0005-0000-0000-000007000000}"/>
    <cellStyle name="Normal 2 2 2" xfId="25" xr:uid="{16DECE2E-B2F5-4AB5-A45F-729CD7422AB1}"/>
    <cellStyle name="Normal 3" xfId="12" xr:uid="{00000000-0005-0000-0000-000008000000}"/>
    <cellStyle name="Normal 3 2" xfId="13" xr:uid="{00000000-0005-0000-0000-000009000000}"/>
    <cellStyle name="Normal 4" xfId="14" xr:uid="{00000000-0005-0000-0000-00000A000000}"/>
    <cellStyle name="Normal 4 2" xfId="15" xr:uid="{00000000-0005-0000-0000-00000B000000}"/>
    <cellStyle name="Normal 5" xfId="16" xr:uid="{00000000-0005-0000-0000-00000C000000}"/>
    <cellStyle name="Normal 5 2" xfId="27" xr:uid="{1BD61B2D-29F8-46D4-ADBA-F28D66EA15D2}"/>
    <cellStyle name="Normal_7+800" xfId="17" xr:uid="{00000000-0005-0000-0000-00000D000000}"/>
    <cellStyle name="Normal_abr" xfId="3" xr:uid="{00000000-0005-0000-0000-00000E000000}"/>
    <cellStyle name="Normal_ENSAYOS 2" xfId="4" xr:uid="{00000000-0005-0000-0000-000010000000}"/>
    <cellStyle name="Normal_FORMATOS RESUMEN R001 al 013" xfId="26" xr:uid="{F0BF159C-C8C4-4D79-BB68-302708668059}"/>
    <cellStyle name="Normal_gran+comp+cbr" xfId="24" xr:uid="{00000000-0005-0000-0000-000016000000}"/>
    <cellStyle name="Normal_Produc. 07-09-99" xfId="2" xr:uid="{00000000-0005-0000-0000-00001A000000}"/>
    <cellStyle name="Normal_Produc. 07-09-99 2" xfId="5" xr:uid="{00000000-0005-0000-0000-00001B000000}"/>
    <cellStyle name="Normale_Ensayos-1" xfId="18" xr:uid="{00000000-0005-0000-0000-00001C000000}"/>
    <cellStyle name="Porcentaje 2" xfId="19" xr:uid="{00000000-0005-0000-0000-00001D000000}"/>
    <cellStyle name="Porcentual 2" xfId="20" xr:uid="{00000000-0005-0000-0000-00001E000000}"/>
    <cellStyle name="Porcentual 3" xfId="21" xr:uid="{00000000-0005-0000-0000-00001F000000}"/>
    <cellStyle name="Porcentual 3 2" xfId="22" xr:uid="{00000000-0005-0000-0000-000020000000}"/>
    <cellStyle name="Porcentual 4" xfId="23" xr:uid="{00000000-0005-0000-0000-000021000000}"/>
  </cellStyles>
  <dxfs count="14">
    <dxf>
      <font>
        <color theme="6" tint="-0.499984740745262"/>
      </font>
      <fill>
        <patternFill>
          <bgColor theme="6" tint="0.59996337778862885"/>
        </patternFill>
      </fill>
    </dxf>
    <dxf>
      <font>
        <color rgb="FFC00000"/>
      </font>
      <fill>
        <patternFill>
          <bgColor theme="5" tint="0.79998168889431442"/>
        </patternFill>
      </fill>
    </dxf>
    <dxf>
      <font>
        <color theme="6" tint="-0.499984740745262"/>
      </font>
      <fill>
        <patternFill>
          <bgColor theme="6" tint="0.59996337778862885"/>
        </patternFill>
      </fill>
    </dxf>
    <dxf>
      <font>
        <color rgb="FFC00000"/>
      </font>
      <fill>
        <patternFill>
          <bgColor theme="5" tint="0.79998168889431442"/>
        </patternFill>
      </fill>
    </dxf>
    <dxf>
      <font>
        <color theme="6" tint="-0.499984740745262"/>
      </font>
      <fill>
        <patternFill>
          <bgColor theme="6" tint="0.59996337778862885"/>
        </patternFill>
      </fill>
    </dxf>
    <dxf>
      <font>
        <color rgb="FFC00000"/>
      </font>
      <fill>
        <patternFill>
          <bgColor theme="5" tint="0.79998168889431442"/>
        </patternFill>
      </fill>
    </dxf>
    <dxf>
      <font>
        <color rgb="FFC00000"/>
      </font>
      <fill>
        <patternFill>
          <bgColor theme="5" tint="0.79998168889431442"/>
        </patternFill>
      </fill>
    </dxf>
    <dxf>
      <fill>
        <patternFill>
          <bgColor theme="0" tint="-0.14996795556505021"/>
        </patternFill>
      </fill>
      <border>
        <left style="thin">
          <color rgb="FFFF0000"/>
        </left>
        <right style="thin">
          <color rgb="FFFF0000"/>
        </right>
        <top style="thin">
          <color rgb="FFFF0000"/>
        </top>
        <bottom style="thin">
          <color rgb="FFFF0000"/>
        </bottom>
      </border>
    </dxf>
    <dxf>
      <fill>
        <patternFill>
          <bgColor theme="0" tint="-0.14996795556505021"/>
        </patternFill>
      </fill>
      <border>
        <left style="thin">
          <color rgb="FFFF0000"/>
        </left>
        <right style="thin">
          <color rgb="FFFF0000"/>
        </right>
        <top style="thin">
          <color rgb="FFFF0000"/>
        </top>
        <bottom style="thin">
          <color rgb="FFFF0000"/>
        </bottom>
      </border>
    </dxf>
    <dxf>
      <fill>
        <patternFill>
          <bgColor theme="0" tint="-0.14996795556505021"/>
        </patternFill>
      </fill>
      <border>
        <left style="thin">
          <color rgb="FFFF0000"/>
        </left>
        <right style="thin">
          <color rgb="FFFF0000"/>
        </right>
        <top style="thin">
          <color rgb="FFFF0000"/>
        </top>
        <bottom style="thin">
          <color rgb="FFFF0000"/>
        </bottom>
      </border>
    </dxf>
    <dxf>
      <fill>
        <patternFill>
          <bgColor theme="0" tint="-0.14996795556505021"/>
        </patternFill>
      </fill>
      <border>
        <left style="thin">
          <color rgb="FFFF0000"/>
        </left>
        <right style="thin">
          <color rgb="FFFF0000"/>
        </right>
        <top style="thin">
          <color rgb="FFFF0000"/>
        </top>
        <bottom style="thin">
          <color rgb="FFFF0000"/>
        </bottom>
      </border>
    </dxf>
    <dxf>
      <fill>
        <patternFill>
          <bgColor theme="0" tint="-0.14996795556505021"/>
        </patternFill>
      </fill>
      <border>
        <left style="thin">
          <color rgb="FFFF0000"/>
        </left>
        <right style="thin">
          <color rgb="FFFF0000"/>
        </right>
        <top style="thin">
          <color rgb="FFFF0000"/>
        </top>
        <bottom style="thin">
          <color rgb="FFFF0000"/>
        </bottom>
      </border>
    </dxf>
    <dxf>
      <font>
        <color theme="0"/>
      </font>
    </dxf>
    <dxf>
      <fill>
        <patternFill>
          <bgColor indexed="22"/>
        </patternFill>
      </fill>
    </dxf>
  </dxfs>
  <tableStyles count="0" defaultTableStyle="TableStyleMedium2" defaultPivotStyle="PivotStyleLight16"/>
  <colors>
    <mruColors>
      <color rgb="FFFFFFCC"/>
      <color rgb="FFB2B2B2"/>
      <color rgb="FF333399"/>
      <color rgb="FFFFCC99"/>
      <color rgb="FFCCFFFF"/>
      <color rgb="FFD600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MX"/>
              <a:t>Granulometría</a:t>
            </a:r>
          </a:p>
        </c:rich>
      </c:tx>
      <c:layout>
        <c:manualLayout>
          <c:xMode val="edge"/>
          <c:yMode val="edge"/>
          <c:x val="0.39743589743589741"/>
          <c:y val="3.793103448275862E-2"/>
        </c:manualLayout>
      </c:layout>
      <c:overlay val="0"/>
      <c:spPr>
        <a:noFill/>
        <a:ln w="25400">
          <a:noFill/>
        </a:ln>
      </c:spPr>
    </c:title>
    <c:autoTitleDeleted val="0"/>
    <c:plotArea>
      <c:layout>
        <c:manualLayout>
          <c:layoutTarget val="inner"/>
          <c:xMode val="edge"/>
          <c:yMode val="edge"/>
          <c:x val="0.17094052763698508"/>
          <c:y val="0.20344827586206901"/>
          <c:w val="0.76709561777097091"/>
          <c:h val="0.57931034482758614"/>
        </c:manualLayout>
      </c:layout>
      <c:scatterChart>
        <c:scatterStyle val="lineMarker"/>
        <c:varyColors val="0"/>
        <c:ser>
          <c:idx val="0"/>
          <c:order val="0"/>
          <c:spPr>
            <a:ln w="12700">
              <a:solidFill>
                <a:srgbClr val="993300"/>
              </a:solidFill>
              <a:prstDash val="solid"/>
            </a:ln>
          </c:spPr>
          <c:marker>
            <c:symbol val="square"/>
            <c:size val="3"/>
            <c:spPr>
              <a:solidFill>
                <a:srgbClr val="993300"/>
              </a:solidFill>
              <a:ln>
                <a:solidFill>
                  <a:srgbClr val="993300"/>
                </a:solidFill>
                <a:prstDash val="solid"/>
              </a:ln>
            </c:spPr>
          </c:marker>
          <c:xVal>
            <c:numRef>
              <c:f>'AASHTO N° 01'!$B$4:$B$19</c:f>
              <c:numCache>
                <c:formatCode>General</c:formatCode>
                <c:ptCount val="16"/>
                <c:pt idx="0">
                  <c:v>100</c:v>
                </c:pt>
                <c:pt idx="1">
                  <c:v>80</c:v>
                </c:pt>
                <c:pt idx="2">
                  <c:v>63</c:v>
                </c:pt>
                <c:pt idx="3">
                  <c:v>50</c:v>
                </c:pt>
                <c:pt idx="4">
                  <c:v>40</c:v>
                </c:pt>
                <c:pt idx="5">
                  <c:v>25</c:v>
                </c:pt>
                <c:pt idx="6">
                  <c:v>20</c:v>
                </c:pt>
                <c:pt idx="7">
                  <c:v>12.5</c:v>
                </c:pt>
                <c:pt idx="8">
                  <c:v>10</c:v>
                </c:pt>
                <c:pt idx="9">
                  <c:v>6.3</c:v>
                </c:pt>
                <c:pt idx="10">
                  <c:v>5</c:v>
                </c:pt>
                <c:pt idx="11">
                  <c:v>2</c:v>
                </c:pt>
                <c:pt idx="12">
                  <c:v>1.25</c:v>
                </c:pt>
                <c:pt idx="13">
                  <c:v>0.4</c:v>
                </c:pt>
                <c:pt idx="14" formatCode="0.000">
                  <c:v>0.16</c:v>
                </c:pt>
                <c:pt idx="15" formatCode="0.000">
                  <c:v>0.08</c:v>
                </c:pt>
              </c:numCache>
            </c:numRef>
          </c:xVal>
          <c:yVal>
            <c:numRef>
              <c:f>'AASHTO N° 01'!$D$4:$D$19</c:f>
              <c:numCache>
                <c:formatCode>0.00</c:formatCode>
                <c:ptCount val="16"/>
                <c:pt idx="0">
                  <c:v>100</c:v>
                </c:pt>
                <c:pt idx="1">
                  <c:v>96.337256541333346</c:v>
                </c:pt>
                <c:pt idx="2">
                  <c:v>93.104579154284067</c:v>
                </c:pt>
                <c:pt idx="3">
                  <c:v>90.279999827335359</c:v>
                </c:pt>
                <c:pt idx="4">
                  <c:v>86.400955947580215</c:v>
                </c:pt>
                <c:pt idx="5">
                  <c:v>81.448014274061421</c:v>
                </c:pt>
                <c:pt idx="6">
                  <c:v>78.32602186811603</c:v>
                </c:pt>
                <c:pt idx="7">
                  <c:v>72.830639294836232</c:v>
                </c:pt>
                <c:pt idx="8">
                  <c:v>70.05591045556028</c:v>
                </c:pt>
                <c:pt idx="9">
                  <c:v>65.444317884071779</c:v>
                </c:pt>
                <c:pt idx="10">
                  <c:v>62.47525663522412</c:v>
                </c:pt>
                <c:pt idx="11">
                  <c:v>52.573077780713355</c:v>
                </c:pt>
                <c:pt idx="12">
                  <c:v>43.726900517330485</c:v>
                </c:pt>
                <c:pt idx="13">
                  <c:v>29.505502040091685</c:v>
                </c:pt>
                <c:pt idx="14">
                  <c:v>21.066145061815462</c:v>
                </c:pt>
                <c:pt idx="15">
                  <c:v>17.326860739133082</c:v>
                </c:pt>
              </c:numCache>
            </c:numRef>
          </c:yVal>
          <c:smooth val="0"/>
          <c:extLst>
            <c:ext xmlns:c16="http://schemas.microsoft.com/office/drawing/2014/chart" uri="{C3380CC4-5D6E-409C-BE32-E72D297353CC}">
              <c16:uniqueId val="{00000000-3BE6-41C0-8ABE-3788C86344C1}"/>
            </c:ext>
          </c:extLst>
        </c:ser>
        <c:dLbls>
          <c:showLegendKey val="0"/>
          <c:showVal val="0"/>
          <c:showCatName val="0"/>
          <c:showSerName val="0"/>
          <c:showPercent val="0"/>
          <c:showBubbleSize val="0"/>
        </c:dLbls>
        <c:axId val="916123952"/>
        <c:axId val="916122384"/>
      </c:scatterChart>
      <c:valAx>
        <c:axId val="916123952"/>
        <c:scaling>
          <c:logBase val="10"/>
          <c:orientation val="maxMin"/>
          <c:max val="100"/>
          <c:min val="1E-3"/>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800" b="1" i="0" u="none" strike="noStrike" baseline="0">
                    <a:solidFill>
                      <a:srgbClr val="000000"/>
                    </a:solidFill>
                    <a:latin typeface="Arial"/>
                    <a:ea typeface="Arial"/>
                    <a:cs typeface="Arial"/>
                  </a:defRPr>
                </a:pPr>
                <a:r>
                  <a:rPr lang="es-MX"/>
                  <a:t>Tamiz (mm)</a:t>
                </a:r>
              </a:p>
            </c:rich>
          </c:tx>
          <c:layout>
            <c:manualLayout>
              <c:xMode val="edge"/>
              <c:yMode val="edge"/>
              <c:x val="0.47863337595621058"/>
              <c:y val="0.875862068965517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916122384"/>
        <c:crosses val="autoZero"/>
        <c:crossBetween val="midCat"/>
        <c:majorUnit val="10"/>
        <c:minorUnit val="10"/>
      </c:valAx>
      <c:valAx>
        <c:axId val="916122384"/>
        <c:scaling>
          <c:orientation val="minMax"/>
          <c:max val="100"/>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MX"/>
                  <a:t>Pasa (%)</a:t>
                </a:r>
              </a:p>
            </c:rich>
          </c:tx>
          <c:layout>
            <c:manualLayout>
              <c:xMode val="edge"/>
              <c:yMode val="edge"/>
              <c:x val="3.4188034188034191E-2"/>
              <c:y val="0.40689655172413791"/>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916123952"/>
        <c:crosses val="max"/>
        <c:crossBetween val="midCat"/>
        <c:majorUnit val="10"/>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s-PE"/>
    </a:p>
  </c:txPr>
  <c:printSettings>
    <c:headerFooter alignWithMargins="0"/>
    <c:pageMargins b="1" l="0.75000000000000011" r="0.75000000000000011" t="1" header="0" footer="0"/>
    <c:pageSetup paperSize="9" orientation="landscape" horizontalDpi="355" verticalDpi="46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b="1" i="0" u="none" strike="noStrike" baseline="0">
                <a:solidFill>
                  <a:srgbClr val="000000"/>
                </a:solidFill>
                <a:latin typeface="Arial"/>
                <a:ea typeface="Arial"/>
                <a:cs typeface="Arial"/>
              </a:defRPr>
            </a:pPr>
            <a:r>
              <a:rPr lang="es-PE"/>
              <a:t>Ábaco de Casagrande</a:t>
            </a:r>
          </a:p>
        </c:rich>
      </c:tx>
      <c:layout>
        <c:manualLayout>
          <c:xMode val="edge"/>
          <c:yMode val="edge"/>
          <c:x val="0.33119658119658119"/>
          <c:y val="3.4582132564841501E-2"/>
        </c:manualLayout>
      </c:layout>
      <c:overlay val="0"/>
      <c:spPr>
        <a:noFill/>
        <a:ln w="25400">
          <a:noFill/>
        </a:ln>
      </c:spPr>
    </c:title>
    <c:autoTitleDeleted val="0"/>
    <c:plotArea>
      <c:layout>
        <c:manualLayout>
          <c:layoutTarget val="inner"/>
          <c:xMode val="edge"/>
          <c:yMode val="edge"/>
          <c:x val="0.12606863913227653"/>
          <c:y val="0.1930835734870317"/>
          <c:w val="0.82051453265752849"/>
          <c:h val="0.62536023054755052"/>
        </c:manualLayout>
      </c:layout>
      <c:scatterChart>
        <c:scatterStyle val="smoothMarker"/>
        <c:varyColors val="0"/>
        <c:ser>
          <c:idx val="0"/>
          <c:order val="0"/>
          <c:spPr>
            <a:ln w="25400">
              <a:solidFill>
                <a:srgbClr val="333399"/>
              </a:solidFill>
              <a:prstDash val="solid"/>
            </a:ln>
          </c:spPr>
          <c:marker>
            <c:symbol val="none"/>
          </c:marker>
          <c:xVal>
            <c:numRef>
              <c:f>'AASHTO N° 01'!$D$58:$D$59</c:f>
              <c:numCache>
                <c:formatCode>General</c:formatCode>
                <c:ptCount val="2"/>
                <c:pt idx="0">
                  <c:v>25.48</c:v>
                </c:pt>
                <c:pt idx="1">
                  <c:v>100</c:v>
                </c:pt>
              </c:numCache>
            </c:numRef>
          </c:xVal>
          <c:yVal>
            <c:numRef>
              <c:f>'AASHTO N° 01'!$E$58:$E$59</c:f>
              <c:numCache>
                <c:formatCode>0.00</c:formatCode>
                <c:ptCount val="2"/>
                <c:pt idx="0">
                  <c:v>4.0004</c:v>
                </c:pt>
                <c:pt idx="1">
                  <c:v>58.4</c:v>
                </c:pt>
              </c:numCache>
            </c:numRef>
          </c:yVal>
          <c:smooth val="1"/>
          <c:extLst>
            <c:ext xmlns:c16="http://schemas.microsoft.com/office/drawing/2014/chart" uri="{C3380CC4-5D6E-409C-BE32-E72D297353CC}">
              <c16:uniqueId val="{00000000-2952-444B-B1E1-1012967BE6DE}"/>
            </c:ext>
          </c:extLst>
        </c:ser>
        <c:ser>
          <c:idx val="2"/>
          <c:order val="1"/>
          <c:spPr>
            <a:ln w="25400">
              <a:solidFill>
                <a:srgbClr val="333399"/>
              </a:solidFill>
              <a:prstDash val="solid"/>
            </a:ln>
          </c:spPr>
          <c:marker>
            <c:symbol val="none"/>
          </c:marker>
          <c:xVal>
            <c:numRef>
              <c:f>'AASHTO N° 01'!$B$61:$B$62</c:f>
              <c:numCache>
                <c:formatCode>General</c:formatCode>
                <c:ptCount val="2"/>
                <c:pt idx="0">
                  <c:v>50</c:v>
                </c:pt>
                <c:pt idx="1">
                  <c:v>50</c:v>
                </c:pt>
              </c:numCache>
            </c:numRef>
          </c:xVal>
          <c:yVal>
            <c:numRef>
              <c:f>'AASHTO N° 01'!$D$61:$D$62</c:f>
              <c:numCache>
                <c:formatCode>General</c:formatCode>
                <c:ptCount val="2"/>
                <c:pt idx="0">
                  <c:v>0</c:v>
                </c:pt>
                <c:pt idx="1">
                  <c:v>60</c:v>
                </c:pt>
              </c:numCache>
            </c:numRef>
          </c:yVal>
          <c:smooth val="1"/>
          <c:extLst>
            <c:ext xmlns:c16="http://schemas.microsoft.com/office/drawing/2014/chart" uri="{C3380CC4-5D6E-409C-BE32-E72D297353CC}">
              <c16:uniqueId val="{00000001-2952-444B-B1E1-1012967BE6DE}"/>
            </c:ext>
          </c:extLst>
        </c:ser>
        <c:ser>
          <c:idx val="3"/>
          <c:order val="2"/>
          <c:spPr>
            <a:ln w="12700">
              <a:solidFill>
                <a:srgbClr val="C0C0C0"/>
              </a:solidFill>
              <a:prstDash val="solid"/>
            </a:ln>
          </c:spPr>
          <c:marker>
            <c:symbol val="none"/>
          </c:marker>
          <c:xVal>
            <c:numRef>
              <c:f>'AASHTO N° 01'!$D$57:$D$59</c:f>
              <c:numCache>
                <c:formatCode>General</c:formatCode>
                <c:ptCount val="3"/>
                <c:pt idx="0">
                  <c:v>0</c:v>
                </c:pt>
                <c:pt idx="1">
                  <c:v>25.48</c:v>
                </c:pt>
                <c:pt idx="2">
                  <c:v>100</c:v>
                </c:pt>
              </c:numCache>
            </c:numRef>
          </c:xVal>
          <c:yVal>
            <c:numRef>
              <c:f>'AASHTO N° 01'!$B$57:$B$59</c:f>
              <c:numCache>
                <c:formatCode>General</c:formatCode>
                <c:ptCount val="3"/>
                <c:pt idx="0">
                  <c:v>-7.2</c:v>
                </c:pt>
                <c:pt idx="1">
                  <c:v>15.732000000000001</c:v>
                </c:pt>
                <c:pt idx="2">
                  <c:v>82.8</c:v>
                </c:pt>
              </c:numCache>
            </c:numRef>
          </c:yVal>
          <c:smooth val="1"/>
          <c:extLst>
            <c:ext xmlns:c16="http://schemas.microsoft.com/office/drawing/2014/chart" uri="{C3380CC4-5D6E-409C-BE32-E72D297353CC}">
              <c16:uniqueId val="{00000002-2952-444B-B1E1-1012967BE6DE}"/>
            </c:ext>
          </c:extLst>
        </c:ser>
        <c:ser>
          <c:idx val="4"/>
          <c:order val="3"/>
          <c:spPr>
            <a:ln w="25400">
              <a:solidFill>
                <a:srgbClr val="333399"/>
              </a:solidFill>
              <a:prstDash val="sysDash"/>
            </a:ln>
          </c:spPr>
          <c:marker>
            <c:symbol val="none"/>
          </c:marker>
          <c:xVal>
            <c:numRef>
              <c:f>'AASHTO N° 01'!$E$64:$E$65</c:f>
              <c:numCache>
                <c:formatCode>General</c:formatCode>
                <c:ptCount val="2"/>
                <c:pt idx="0">
                  <c:v>20</c:v>
                </c:pt>
                <c:pt idx="1">
                  <c:v>25.48</c:v>
                </c:pt>
              </c:numCache>
            </c:numRef>
          </c:xVal>
          <c:yVal>
            <c:numRef>
              <c:f>'AASHTO N° 01'!$F$64:$F$65</c:f>
              <c:numCache>
                <c:formatCode>0</c:formatCode>
                <c:ptCount val="2"/>
                <c:pt idx="0">
                  <c:v>0</c:v>
                </c:pt>
                <c:pt idx="1">
                  <c:v>4</c:v>
                </c:pt>
              </c:numCache>
            </c:numRef>
          </c:yVal>
          <c:smooth val="1"/>
          <c:extLst>
            <c:ext xmlns:c16="http://schemas.microsoft.com/office/drawing/2014/chart" uri="{C3380CC4-5D6E-409C-BE32-E72D297353CC}">
              <c16:uniqueId val="{00000003-2952-444B-B1E1-1012967BE6DE}"/>
            </c:ext>
          </c:extLst>
        </c:ser>
        <c:ser>
          <c:idx val="5"/>
          <c:order val="4"/>
          <c:spPr>
            <a:ln w="25400">
              <a:solidFill>
                <a:srgbClr val="333399"/>
              </a:solidFill>
              <a:prstDash val="solid"/>
            </a:ln>
          </c:spPr>
          <c:marker>
            <c:symbol val="none"/>
          </c:marker>
          <c:xVal>
            <c:numRef>
              <c:f>'AASHTO N° 01'!$F$61:$F$62</c:f>
              <c:numCache>
                <c:formatCode>General</c:formatCode>
                <c:ptCount val="2"/>
                <c:pt idx="0">
                  <c:v>10</c:v>
                </c:pt>
                <c:pt idx="1">
                  <c:v>25</c:v>
                </c:pt>
              </c:numCache>
            </c:numRef>
          </c:xVal>
          <c:yVal>
            <c:numRef>
              <c:f>'AASHTO N° 01'!$E$61:$E$62</c:f>
              <c:numCache>
                <c:formatCode>General</c:formatCode>
                <c:ptCount val="2"/>
                <c:pt idx="0">
                  <c:v>4</c:v>
                </c:pt>
                <c:pt idx="1">
                  <c:v>4</c:v>
                </c:pt>
              </c:numCache>
            </c:numRef>
          </c:yVal>
          <c:smooth val="1"/>
          <c:extLst>
            <c:ext xmlns:c16="http://schemas.microsoft.com/office/drawing/2014/chart" uri="{C3380CC4-5D6E-409C-BE32-E72D297353CC}">
              <c16:uniqueId val="{00000004-2952-444B-B1E1-1012967BE6DE}"/>
            </c:ext>
          </c:extLst>
        </c:ser>
        <c:ser>
          <c:idx val="6"/>
          <c:order val="5"/>
          <c:spPr>
            <a:ln w="25400">
              <a:solidFill>
                <a:srgbClr val="333399"/>
              </a:solidFill>
              <a:prstDash val="solid"/>
            </a:ln>
          </c:spPr>
          <c:marker>
            <c:symbol val="none"/>
          </c:marker>
          <c:xVal>
            <c:numRef>
              <c:f>'AASHTO N° 01'!$D$67:$D$68</c:f>
              <c:numCache>
                <c:formatCode>General</c:formatCode>
                <c:ptCount val="2"/>
                <c:pt idx="0">
                  <c:v>10</c:v>
                </c:pt>
                <c:pt idx="1">
                  <c:v>30</c:v>
                </c:pt>
              </c:numCache>
            </c:numRef>
          </c:xVal>
          <c:yVal>
            <c:numRef>
              <c:f>'AASHTO N° 01'!$B$67:$B$68</c:f>
              <c:numCache>
                <c:formatCode>General</c:formatCode>
                <c:ptCount val="2"/>
                <c:pt idx="0">
                  <c:v>7</c:v>
                </c:pt>
                <c:pt idx="1">
                  <c:v>7</c:v>
                </c:pt>
              </c:numCache>
            </c:numRef>
          </c:yVal>
          <c:smooth val="1"/>
          <c:extLst>
            <c:ext xmlns:c16="http://schemas.microsoft.com/office/drawing/2014/chart" uri="{C3380CC4-5D6E-409C-BE32-E72D297353CC}">
              <c16:uniqueId val="{00000005-2952-444B-B1E1-1012967BE6DE}"/>
            </c:ext>
          </c:extLst>
        </c:ser>
        <c:ser>
          <c:idx val="7"/>
          <c:order val="6"/>
          <c:spPr>
            <a:ln w="12700">
              <a:solidFill>
                <a:srgbClr val="0000FF"/>
              </a:solidFill>
              <a:prstDash val="solid"/>
            </a:ln>
          </c:spPr>
          <c:marker>
            <c:symbol val="square"/>
            <c:size val="5"/>
            <c:spPr>
              <a:solidFill>
                <a:srgbClr val="993300"/>
              </a:solidFill>
              <a:ln>
                <a:solidFill>
                  <a:srgbClr val="993300"/>
                </a:solidFill>
                <a:prstDash val="solid"/>
              </a:ln>
            </c:spPr>
          </c:marker>
          <c:xVal>
            <c:numRef>
              <c:f>'AASHTO N° 01'!$C$21</c:f>
              <c:numCache>
                <c:formatCode>0.00</c:formatCode>
                <c:ptCount val="1"/>
                <c:pt idx="0">
                  <c:v>0</c:v>
                </c:pt>
              </c:numCache>
            </c:numRef>
          </c:xVal>
          <c:yVal>
            <c:numRef>
              <c:f>'AASHTO N° 01'!$C$23</c:f>
              <c:numCache>
                <c:formatCode>0.00</c:formatCode>
                <c:ptCount val="1"/>
                <c:pt idx="0">
                  <c:v>0</c:v>
                </c:pt>
              </c:numCache>
            </c:numRef>
          </c:yVal>
          <c:smooth val="1"/>
          <c:extLst>
            <c:ext xmlns:c16="http://schemas.microsoft.com/office/drawing/2014/chart" uri="{C3380CC4-5D6E-409C-BE32-E72D297353CC}">
              <c16:uniqueId val="{00000006-2952-444B-B1E1-1012967BE6DE}"/>
            </c:ext>
          </c:extLst>
        </c:ser>
        <c:ser>
          <c:idx val="1"/>
          <c:order val="7"/>
          <c:spPr>
            <a:ln w="12700">
              <a:solidFill>
                <a:srgbClr val="C0C0C0"/>
              </a:solidFill>
              <a:prstDash val="solid"/>
            </a:ln>
          </c:spPr>
          <c:marker>
            <c:symbol val="none"/>
          </c:marker>
          <c:xVal>
            <c:numRef>
              <c:f>'AASHTO N° 01'!$B$64:$B$65</c:f>
              <c:numCache>
                <c:formatCode>General</c:formatCode>
                <c:ptCount val="2"/>
                <c:pt idx="0">
                  <c:v>30</c:v>
                </c:pt>
                <c:pt idx="1">
                  <c:v>30</c:v>
                </c:pt>
              </c:numCache>
            </c:numRef>
          </c:xVal>
          <c:yVal>
            <c:numRef>
              <c:f>'AASHTO N° 01'!$D$64:$D$65</c:f>
              <c:numCache>
                <c:formatCode>General</c:formatCode>
                <c:ptCount val="2"/>
                <c:pt idx="0">
                  <c:v>8</c:v>
                </c:pt>
                <c:pt idx="1">
                  <c:v>20</c:v>
                </c:pt>
              </c:numCache>
            </c:numRef>
          </c:yVal>
          <c:smooth val="1"/>
          <c:extLst>
            <c:ext xmlns:c16="http://schemas.microsoft.com/office/drawing/2014/chart" uri="{C3380CC4-5D6E-409C-BE32-E72D297353CC}">
              <c16:uniqueId val="{00000007-2952-444B-B1E1-1012967BE6DE}"/>
            </c:ext>
          </c:extLst>
        </c:ser>
        <c:dLbls>
          <c:showLegendKey val="0"/>
          <c:showVal val="0"/>
          <c:showCatName val="0"/>
          <c:showSerName val="0"/>
          <c:showPercent val="0"/>
          <c:showBubbleSize val="0"/>
        </c:dLbls>
        <c:axId val="916132576"/>
        <c:axId val="916132968"/>
      </c:scatterChart>
      <c:valAx>
        <c:axId val="916132576"/>
        <c:scaling>
          <c:orientation val="minMax"/>
          <c:max val="100"/>
          <c:min val="0"/>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PE"/>
                  <a:t>Límite líquido</a:t>
                </a:r>
              </a:p>
            </c:rich>
          </c:tx>
          <c:layout>
            <c:manualLayout>
              <c:xMode val="edge"/>
              <c:yMode val="edge"/>
              <c:x val="0.45299235031518492"/>
              <c:y val="0.8962536023054754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916132968"/>
        <c:crosses val="autoZero"/>
        <c:crossBetween val="midCat"/>
        <c:majorUnit val="10"/>
      </c:valAx>
      <c:valAx>
        <c:axId val="916132968"/>
        <c:scaling>
          <c:orientation val="minMax"/>
          <c:max val="60"/>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PE"/>
                  <a:t>Índice plasticidad</a:t>
                </a:r>
              </a:p>
            </c:rich>
          </c:tx>
          <c:layout>
            <c:manualLayout>
              <c:xMode val="edge"/>
              <c:yMode val="edge"/>
              <c:x val="3.4188034188034191E-2"/>
              <c:y val="0.3631123919308357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916132576"/>
        <c:crosses val="autoZero"/>
        <c:crossBetween val="midCat"/>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s-PE"/>
    </a:p>
  </c:txPr>
  <c:printSettings>
    <c:headerFooter alignWithMargins="0"/>
    <c:pageMargins b="1" l="0.75000000000000011" r="0.75000000000000011" t="1" header="0" footer="0"/>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b="1" i="0" u="none" strike="noStrike" baseline="0">
                <a:solidFill>
                  <a:srgbClr val="000000"/>
                </a:solidFill>
                <a:latin typeface="Arial"/>
                <a:ea typeface="Arial"/>
                <a:cs typeface="Arial"/>
              </a:defRPr>
            </a:pPr>
            <a:r>
              <a:rPr lang="es-MX"/>
              <a:t>Clasificación fracción limoso-arcillosa (AAHSTO)</a:t>
            </a:r>
          </a:p>
        </c:rich>
      </c:tx>
      <c:layout>
        <c:manualLayout>
          <c:xMode val="edge"/>
          <c:yMode val="edge"/>
          <c:x val="0.13404255319148936"/>
          <c:y val="3.5398230088495575E-2"/>
        </c:manualLayout>
      </c:layout>
      <c:overlay val="0"/>
      <c:spPr>
        <a:noFill/>
        <a:ln w="25400">
          <a:noFill/>
        </a:ln>
      </c:spPr>
    </c:title>
    <c:autoTitleDeleted val="0"/>
    <c:plotArea>
      <c:layout>
        <c:manualLayout>
          <c:layoutTarget val="inner"/>
          <c:xMode val="edge"/>
          <c:yMode val="edge"/>
          <c:x val="0.13829787234042556"/>
          <c:y val="0.19764068734065995"/>
          <c:w val="0.80638297872340414"/>
          <c:h val="0.59882178403214881"/>
        </c:manualLayout>
      </c:layout>
      <c:scatterChart>
        <c:scatterStyle val="smoothMarker"/>
        <c:varyColors val="0"/>
        <c:ser>
          <c:idx val="0"/>
          <c:order val="0"/>
          <c:spPr>
            <a:ln w="25400">
              <a:solidFill>
                <a:srgbClr val="333399"/>
              </a:solidFill>
              <a:prstDash val="solid"/>
            </a:ln>
          </c:spPr>
          <c:marker>
            <c:symbol val="none"/>
          </c:marker>
          <c:xVal>
            <c:numRef>
              <c:f>'AASHTO N° 01'!$I$4:$I$5</c:f>
              <c:numCache>
                <c:formatCode>General</c:formatCode>
                <c:ptCount val="2"/>
                <c:pt idx="0">
                  <c:v>40</c:v>
                </c:pt>
                <c:pt idx="1">
                  <c:v>40</c:v>
                </c:pt>
              </c:numCache>
            </c:numRef>
          </c:xVal>
          <c:yVal>
            <c:numRef>
              <c:f>'AASHTO N° 01'!$J$4:$J$5</c:f>
              <c:numCache>
                <c:formatCode>General</c:formatCode>
                <c:ptCount val="2"/>
                <c:pt idx="0">
                  <c:v>0</c:v>
                </c:pt>
                <c:pt idx="1">
                  <c:v>70</c:v>
                </c:pt>
              </c:numCache>
            </c:numRef>
          </c:yVal>
          <c:smooth val="1"/>
          <c:extLst>
            <c:ext xmlns:c16="http://schemas.microsoft.com/office/drawing/2014/chart" uri="{C3380CC4-5D6E-409C-BE32-E72D297353CC}">
              <c16:uniqueId val="{00000000-E11B-404A-855F-DC68BC7825D2}"/>
            </c:ext>
          </c:extLst>
        </c:ser>
        <c:ser>
          <c:idx val="1"/>
          <c:order val="1"/>
          <c:spPr>
            <a:ln w="25400">
              <a:solidFill>
                <a:srgbClr val="333399"/>
              </a:solidFill>
              <a:prstDash val="solid"/>
            </a:ln>
          </c:spPr>
          <c:marker>
            <c:symbol val="none"/>
          </c:marker>
          <c:xVal>
            <c:numRef>
              <c:f>'AASHTO N° 01'!$I$7:$I$8</c:f>
              <c:numCache>
                <c:formatCode>General</c:formatCode>
                <c:ptCount val="2"/>
                <c:pt idx="0">
                  <c:v>0</c:v>
                </c:pt>
                <c:pt idx="1">
                  <c:v>100</c:v>
                </c:pt>
              </c:numCache>
            </c:numRef>
          </c:xVal>
          <c:yVal>
            <c:numRef>
              <c:f>'AASHTO N° 01'!$J$7:$J$8</c:f>
              <c:numCache>
                <c:formatCode>General</c:formatCode>
                <c:ptCount val="2"/>
                <c:pt idx="0">
                  <c:v>10</c:v>
                </c:pt>
                <c:pt idx="1">
                  <c:v>10</c:v>
                </c:pt>
              </c:numCache>
            </c:numRef>
          </c:yVal>
          <c:smooth val="1"/>
          <c:extLst>
            <c:ext xmlns:c16="http://schemas.microsoft.com/office/drawing/2014/chart" uri="{C3380CC4-5D6E-409C-BE32-E72D297353CC}">
              <c16:uniqueId val="{00000001-E11B-404A-855F-DC68BC7825D2}"/>
            </c:ext>
          </c:extLst>
        </c:ser>
        <c:ser>
          <c:idx val="2"/>
          <c:order val="2"/>
          <c:spPr>
            <a:ln w="25400">
              <a:solidFill>
                <a:srgbClr val="333399"/>
              </a:solidFill>
              <a:prstDash val="solid"/>
            </a:ln>
          </c:spPr>
          <c:marker>
            <c:symbol val="none"/>
          </c:marker>
          <c:xVal>
            <c:numRef>
              <c:f>'AASHTO N° 01'!$K$4:$K$5</c:f>
              <c:numCache>
                <c:formatCode>General</c:formatCode>
                <c:ptCount val="2"/>
                <c:pt idx="0">
                  <c:v>40</c:v>
                </c:pt>
                <c:pt idx="1">
                  <c:v>100</c:v>
                </c:pt>
              </c:numCache>
            </c:numRef>
          </c:xVal>
          <c:yVal>
            <c:numRef>
              <c:f>'AASHTO N° 01'!$L$4:$L$5</c:f>
              <c:numCache>
                <c:formatCode>General</c:formatCode>
                <c:ptCount val="2"/>
                <c:pt idx="0">
                  <c:v>10</c:v>
                </c:pt>
                <c:pt idx="1">
                  <c:v>70</c:v>
                </c:pt>
              </c:numCache>
            </c:numRef>
          </c:yVal>
          <c:smooth val="1"/>
          <c:extLst>
            <c:ext xmlns:c16="http://schemas.microsoft.com/office/drawing/2014/chart" uri="{C3380CC4-5D6E-409C-BE32-E72D297353CC}">
              <c16:uniqueId val="{00000002-E11B-404A-855F-DC68BC7825D2}"/>
            </c:ext>
          </c:extLst>
        </c:ser>
        <c:ser>
          <c:idx val="3"/>
          <c:order val="3"/>
          <c:spPr>
            <a:ln w="12700">
              <a:solidFill>
                <a:srgbClr val="00FFFF"/>
              </a:solidFill>
              <a:prstDash val="solid"/>
            </a:ln>
          </c:spPr>
          <c:marker>
            <c:symbol val="square"/>
            <c:size val="5"/>
            <c:spPr>
              <a:solidFill>
                <a:srgbClr val="993300"/>
              </a:solidFill>
              <a:ln>
                <a:solidFill>
                  <a:srgbClr val="993300"/>
                </a:solidFill>
                <a:prstDash val="solid"/>
              </a:ln>
            </c:spPr>
          </c:marker>
          <c:xVal>
            <c:numRef>
              <c:f>'AASHTO N° 01'!$C$21</c:f>
              <c:numCache>
                <c:formatCode>0.00</c:formatCode>
                <c:ptCount val="1"/>
                <c:pt idx="0">
                  <c:v>0</c:v>
                </c:pt>
              </c:numCache>
            </c:numRef>
          </c:xVal>
          <c:yVal>
            <c:numRef>
              <c:f>'AASHTO N° 01'!$C$23</c:f>
              <c:numCache>
                <c:formatCode>0.00</c:formatCode>
                <c:ptCount val="1"/>
                <c:pt idx="0">
                  <c:v>0</c:v>
                </c:pt>
              </c:numCache>
            </c:numRef>
          </c:yVal>
          <c:smooth val="1"/>
          <c:extLst>
            <c:ext xmlns:c16="http://schemas.microsoft.com/office/drawing/2014/chart" uri="{C3380CC4-5D6E-409C-BE32-E72D297353CC}">
              <c16:uniqueId val="{00000003-E11B-404A-855F-DC68BC7825D2}"/>
            </c:ext>
          </c:extLst>
        </c:ser>
        <c:dLbls>
          <c:showLegendKey val="0"/>
          <c:showVal val="0"/>
          <c:showCatName val="0"/>
          <c:showSerName val="0"/>
          <c:showPercent val="0"/>
          <c:showBubbleSize val="0"/>
        </c:dLbls>
        <c:axId val="916113760"/>
        <c:axId val="916114544"/>
      </c:scatterChart>
      <c:valAx>
        <c:axId val="916113760"/>
        <c:scaling>
          <c:orientation val="minMax"/>
          <c:max val="100"/>
          <c:min val="0"/>
        </c:scaling>
        <c:delete val="0"/>
        <c:axPos val="b"/>
        <c:majorGridlines>
          <c:spPr>
            <a:ln w="3175">
              <a:solidFill>
                <a:srgbClr val="000000"/>
              </a:solidFill>
              <a:prstDash val="solid"/>
            </a:ln>
          </c:spPr>
        </c:majorGridlines>
        <c:title>
          <c:tx>
            <c:rich>
              <a:bodyPr/>
              <a:lstStyle/>
              <a:p>
                <a:pPr>
                  <a:defRPr sz="950" b="1" i="0" u="none" strike="noStrike" baseline="0">
                    <a:solidFill>
                      <a:srgbClr val="000000"/>
                    </a:solidFill>
                    <a:latin typeface="Arial"/>
                    <a:ea typeface="Arial"/>
                    <a:cs typeface="Arial"/>
                  </a:defRPr>
                </a:pPr>
                <a:r>
                  <a:rPr lang="es-MX"/>
                  <a:t>LL (%)</a:t>
                </a:r>
              </a:p>
            </c:rich>
          </c:tx>
          <c:layout>
            <c:manualLayout>
              <c:xMode val="edge"/>
              <c:yMode val="edge"/>
              <c:x val="0.49574468085106382"/>
              <c:y val="0.8879080822861744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s-PE"/>
          </a:p>
        </c:txPr>
        <c:crossAx val="916114544"/>
        <c:crosses val="autoZero"/>
        <c:crossBetween val="midCat"/>
        <c:majorUnit val="10"/>
      </c:valAx>
      <c:valAx>
        <c:axId val="916114544"/>
        <c:scaling>
          <c:orientation val="minMax"/>
          <c:max val="70"/>
          <c:min val="0"/>
        </c:scaling>
        <c:delete val="0"/>
        <c:axPos val="l"/>
        <c:majorGridlines>
          <c:spPr>
            <a:ln w="3175">
              <a:solidFill>
                <a:srgbClr val="000000"/>
              </a:solidFill>
              <a:prstDash val="solid"/>
            </a:ln>
          </c:spPr>
        </c:majorGridlines>
        <c:title>
          <c:tx>
            <c:rich>
              <a:bodyPr/>
              <a:lstStyle/>
              <a:p>
                <a:pPr>
                  <a:defRPr sz="950" b="1" i="0" u="none" strike="noStrike" baseline="0">
                    <a:solidFill>
                      <a:srgbClr val="000000"/>
                    </a:solidFill>
                    <a:latin typeface="Arial"/>
                    <a:ea typeface="Arial"/>
                    <a:cs typeface="Arial"/>
                  </a:defRPr>
                </a:pPr>
                <a:r>
                  <a:rPr lang="es-MX"/>
                  <a:t>IP (%)</a:t>
                </a:r>
              </a:p>
            </c:rich>
          </c:tx>
          <c:layout>
            <c:manualLayout>
              <c:xMode val="edge"/>
              <c:yMode val="edge"/>
              <c:x val="3.4042553191489362E-2"/>
              <c:y val="0.4395292623820252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s-PE"/>
          </a:p>
        </c:txPr>
        <c:crossAx val="916113760"/>
        <c:crosses val="autoZero"/>
        <c:crossBetween val="midCat"/>
        <c:majorUnit val="10"/>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s-PE"/>
    </a:p>
  </c:txPr>
  <c:printSettings>
    <c:headerFooter alignWithMargins="0"/>
    <c:pageMargins b="1" l="0.75000000000000011" r="0.75000000000000011" t="1" header="0" footer="0"/>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Arial"/>
                <a:ea typeface="Arial"/>
                <a:cs typeface="Arial"/>
              </a:defRPr>
            </a:pPr>
            <a:r>
              <a:rPr lang="es-PE"/>
              <a:t>RANGOS PARA MATERIALES LIMO-ARCILLOSO</a:t>
            </a:r>
          </a:p>
        </c:rich>
      </c:tx>
      <c:layout>
        <c:manualLayout>
          <c:xMode val="edge"/>
          <c:yMode val="edge"/>
          <c:x val="0.25964023777233503"/>
          <c:y val="2.8520499108734401E-2"/>
        </c:manualLayout>
      </c:layout>
      <c:overlay val="0"/>
      <c:spPr>
        <a:noFill/>
        <a:ln w="25400">
          <a:noFill/>
        </a:ln>
      </c:spPr>
    </c:title>
    <c:autoTitleDeleted val="0"/>
    <c:plotArea>
      <c:layout>
        <c:manualLayout>
          <c:layoutTarget val="inner"/>
          <c:xMode val="edge"/>
          <c:yMode val="edge"/>
          <c:x val="9.8971784480805458E-2"/>
          <c:y val="0.13547260659085095"/>
          <c:w val="0.86889514687044789"/>
          <c:h val="0.72014385608820763"/>
        </c:manualLayout>
      </c:layout>
      <c:scatterChart>
        <c:scatterStyle val="smoothMarker"/>
        <c:varyColors val="0"/>
        <c:ser>
          <c:idx val="0"/>
          <c:order val="0"/>
          <c:spPr>
            <a:ln w="28575">
              <a:noFill/>
            </a:ln>
          </c:spPr>
          <c:marker>
            <c:symbol val="none"/>
          </c:marker>
          <c:xVal>
            <c:numRef>
              <c:f>'AASHTO N° 02'!$V$1:$V$11</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'AASHTO N° 02'!$U$1:$U$11</c:f>
              <c:numCache>
                <c:formatCode>General</c:formatCode>
                <c:ptCount val="11"/>
                <c:pt idx="0">
                  <c:v>0</c:v>
                </c:pt>
                <c:pt idx="1">
                  <c:v>10</c:v>
                </c:pt>
                <c:pt idx="2">
                  <c:v>20</c:v>
                </c:pt>
                <c:pt idx="3">
                  <c:v>30</c:v>
                </c:pt>
                <c:pt idx="4">
                  <c:v>40</c:v>
                </c:pt>
                <c:pt idx="5">
                  <c:v>50</c:v>
                </c:pt>
                <c:pt idx="6">
                  <c:v>60</c:v>
                </c:pt>
                <c:pt idx="7">
                  <c:v>70</c:v>
                </c:pt>
              </c:numCache>
            </c:numRef>
          </c:yVal>
          <c:smooth val="1"/>
          <c:extLst>
            <c:ext xmlns:c16="http://schemas.microsoft.com/office/drawing/2014/chart" uri="{C3380CC4-5D6E-409C-BE32-E72D297353CC}">
              <c16:uniqueId val="{00000000-DF9F-4B96-93DA-02039CF71A95}"/>
            </c:ext>
          </c:extLst>
        </c:ser>
        <c:dLbls>
          <c:showLegendKey val="0"/>
          <c:showVal val="0"/>
          <c:showCatName val="0"/>
          <c:showSerName val="0"/>
          <c:showPercent val="0"/>
          <c:showBubbleSize val="0"/>
        </c:dLbls>
        <c:axId val="916120816"/>
        <c:axId val="916111800"/>
      </c:scatterChart>
      <c:valAx>
        <c:axId val="916120816"/>
        <c:scaling>
          <c:orientation val="minMax"/>
          <c:max val="100"/>
        </c:scaling>
        <c:delete val="0"/>
        <c:axPos val="b"/>
        <c:majorGridlines>
          <c:spPr>
            <a:ln w="12700">
              <a:solidFill>
                <a:srgbClr val="000000"/>
              </a:solidFill>
              <a:prstDash val="solid"/>
            </a:ln>
          </c:spPr>
        </c:majorGridlines>
        <c:minorGridlines>
          <c:spPr>
            <a:ln w="3175">
              <a:solidFill>
                <a:srgbClr val="000000"/>
              </a:solidFill>
              <a:prstDash val="solid"/>
            </a:ln>
          </c:spPr>
        </c:minorGridlines>
        <c:title>
          <c:tx>
            <c:rich>
              <a:bodyPr/>
              <a:lstStyle/>
              <a:p>
                <a:pPr>
                  <a:defRPr sz="950" b="1" i="0" u="none" strike="noStrike" baseline="0">
                    <a:solidFill>
                      <a:srgbClr val="000000"/>
                    </a:solidFill>
                    <a:latin typeface="Arial"/>
                    <a:ea typeface="Arial"/>
                    <a:cs typeface="Arial"/>
                  </a:defRPr>
                </a:pPr>
                <a:r>
                  <a:rPr lang="es-PE"/>
                  <a:t>L I M I T E    L I Q U I D O</a:t>
                </a:r>
              </a:p>
            </c:rich>
          </c:tx>
          <c:layout>
            <c:manualLayout>
              <c:xMode val="edge"/>
              <c:yMode val="edge"/>
              <c:x val="0.42930618248554403"/>
              <c:y val="0.9304829677039032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s-PE"/>
          </a:p>
        </c:txPr>
        <c:crossAx val="916111800"/>
        <c:crosses val="autoZero"/>
        <c:crossBetween val="midCat"/>
        <c:majorUnit val="10"/>
        <c:minorUnit val="5"/>
      </c:valAx>
      <c:valAx>
        <c:axId val="916111800"/>
        <c:scaling>
          <c:orientation val="minMax"/>
          <c:max val="70"/>
          <c:min val="0"/>
        </c:scaling>
        <c:delete val="0"/>
        <c:axPos val="l"/>
        <c:majorGridlines>
          <c:spPr>
            <a:ln w="12700">
              <a:solidFill>
                <a:srgbClr val="000000"/>
              </a:solidFill>
              <a:prstDash val="solid"/>
            </a:ln>
          </c:spPr>
        </c:majorGridlines>
        <c:minorGridlines>
          <c:spPr>
            <a:ln w="3175">
              <a:solidFill>
                <a:srgbClr val="000000"/>
              </a:solidFill>
              <a:prstDash val="solid"/>
            </a:ln>
          </c:spPr>
        </c:minorGridlines>
        <c:title>
          <c:tx>
            <c:rich>
              <a:bodyPr/>
              <a:lstStyle/>
              <a:p>
                <a:pPr>
                  <a:defRPr sz="950" b="1" i="0" u="none" strike="noStrike" baseline="0">
                    <a:solidFill>
                      <a:srgbClr val="000000"/>
                    </a:solidFill>
                    <a:latin typeface="Arial"/>
                    <a:ea typeface="Arial"/>
                    <a:cs typeface="Arial"/>
                  </a:defRPr>
                </a:pPr>
                <a:r>
                  <a:rPr lang="es-PE"/>
                  <a:t>I N D I C E     P L A S T I C O</a:t>
                </a:r>
              </a:p>
            </c:rich>
          </c:tx>
          <c:layout>
            <c:manualLayout>
              <c:xMode val="edge"/>
              <c:yMode val="edge"/>
              <c:x val="2.1850899742930592E-2"/>
              <c:y val="0.3351164259547770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s-PE"/>
          </a:p>
        </c:txPr>
        <c:crossAx val="916120816"/>
        <c:crosses val="autoZero"/>
        <c:crossBetween val="midCat"/>
        <c:minorUnit val="5"/>
      </c:valAx>
      <c:spPr>
        <a:solidFill>
          <a:srgbClr val="FFFFFF"/>
        </a:solid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075" b="0" i="0" u="none" strike="noStrike" baseline="0">
          <a:solidFill>
            <a:srgbClr val="000000"/>
          </a:solidFill>
          <a:latin typeface="Arial"/>
          <a:ea typeface="Arial"/>
          <a:cs typeface="Arial"/>
        </a:defRPr>
      </a:pPr>
      <a:endParaRPr lang="es-PE"/>
    </a:p>
  </c:txPr>
  <c:printSettings>
    <c:headerFooter alignWithMargins="0"/>
    <c:pageMargins b="1" l="0.75" r="0.75" t="1" header="0" footer="0"/>
    <c:pageSetup paperSize="9" orientation="landscape" horizontalDpi="300" verticalDpi="300"/>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pPr>
            <a:r>
              <a:rPr lang="en-US" sz="1000" b="1"/>
              <a:t>CURVA GRANULOMÉTRICA</a:t>
            </a:r>
          </a:p>
        </c:rich>
      </c:tx>
      <c:layout>
        <c:manualLayout>
          <c:xMode val="edge"/>
          <c:yMode val="edge"/>
          <c:x val="0.40738812175836731"/>
          <c:y val="1.3583664749179169E-2"/>
        </c:manualLayout>
      </c:layout>
      <c:overlay val="1"/>
    </c:title>
    <c:autoTitleDeleted val="0"/>
    <c:plotArea>
      <c:layout>
        <c:manualLayout>
          <c:layoutTarget val="inner"/>
          <c:xMode val="edge"/>
          <c:yMode val="edge"/>
          <c:x val="4.9074370225168709E-2"/>
          <c:y val="0.14505109241364417"/>
          <c:w val="0.90967760251822172"/>
          <c:h val="0.7779511003911358"/>
        </c:manualLayout>
      </c:layout>
      <c:scatterChart>
        <c:scatterStyle val="smoothMarker"/>
        <c:varyColors val="0"/>
        <c:ser>
          <c:idx val="4"/>
          <c:order val="4"/>
          <c:tx>
            <c:strRef>
              <c:f>'D6913'!$A$110</c:f>
              <c:strCache>
                <c:ptCount val="1"/>
                <c:pt idx="0">
                  <c:v>6"</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77-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'D6913'!$B$110:$B$111</c:f>
              <c:numCache>
                <c:formatCode>0.000</c:formatCode>
                <c:ptCount val="2"/>
                <c:pt idx="0">
                  <c:v>152.4</c:v>
                </c:pt>
                <c:pt idx="1">
                  <c:v>152.4</c:v>
                </c:pt>
              </c:numCache>
            </c:numRef>
          </c:xVal>
          <c:yVal>
            <c:numRef>
              <c:f>'D6913'!$C$110:$C$111</c:f>
              <c:numCache>
                <c:formatCode>General</c:formatCode>
                <c:ptCount val="2"/>
                <c:pt idx="0">
                  <c:v>100</c:v>
                </c:pt>
                <c:pt idx="1">
                  <c:v>0</c:v>
                </c:pt>
              </c:numCache>
            </c:numRef>
          </c:yVal>
          <c:smooth val="1"/>
          <c:extLst>
            <c:ext xmlns:c16="http://schemas.microsoft.com/office/drawing/2014/chart" uri="{C3380CC4-5D6E-409C-BE32-E72D297353CC}">
              <c16:uniqueId val="{0000005B-A872-4B0D-9033-F88AE3D65486}"/>
            </c:ext>
          </c:extLst>
        </c:ser>
        <c:ser>
          <c:idx val="5"/>
          <c:order val="5"/>
          <c:tx>
            <c:strRef>
              <c:f>'D6913'!$A$112</c:f>
              <c:strCache>
                <c:ptCount val="1"/>
                <c:pt idx="0">
                  <c:v>5"</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78-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'D6913'!$B$112:$B$113</c:f>
              <c:numCache>
                <c:formatCode>0.000</c:formatCode>
                <c:ptCount val="2"/>
                <c:pt idx="0">
                  <c:v>127</c:v>
                </c:pt>
                <c:pt idx="1">
                  <c:v>127</c:v>
                </c:pt>
              </c:numCache>
            </c:numRef>
          </c:xVal>
          <c:yVal>
            <c:numRef>
              <c:f>'D6913'!$C$112:$C$113</c:f>
              <c:numCache>
                <c:formatCode>General</c:formatCode>
                <c:ptCount val="2"/>
                <c:pt idx="0">
                  <c:v>100</c:v>
                </c:pt>
                <c:pt idx="1">
                  <c:v>0</c:v>
                </c:pt>
              </c:numCache>
            </c:numRef>
          </c:yVal>
          <c:smooth val="1"/>
          <c:extLst>
            <c:ext xmlns:c16="http://schemas.microsoft.com/office/drawing/2014/chart" uri="{C3380CC4-5D6E-409C-BE32-E72D297353CC}">
              <c16:uniqueId val="{0000005C-A872-4B0D-9033-F88AE3D65486}"/>
            </c:ext>
          </c:extLst>
        </c:ser>
        <c:ser>
          <c:idx val="6"/>
          <c:order val="6"/>
          <c:tx>
            <c:strRef>
              <c:f>'D6913'!$A$114</c:f>
              <c:strCache>
                <c:ptCount val="1"/>
                <c:pt idx="0">
                  <c:v>4"</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79-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'D6913'!$B$114:$B$115</c:f>
              <c:numCache>
                <c:formatCode>0.000</c:formatCode>
                <c:ptCount val="2"/>
                <c:pt idx="0">
                  <c:v>101.6</c:v>
                </c:pt>
                <c:pt idx="1">
                  <c:v>101.6</c:v>
                </c:pt>
              </c:numCache>
            </c:numRef>
          </c:xVal>
          <c:yVal>
            <c:numRef>
              <c:f>'D6913'!$C$114:$C$115</c:f>
              <c:numCache>
                <c:formatCode>General</c:formatCode>
                <c:ptCount val="2"/>
                <c:pt idx="0">
                  <c:v>100</c:v>
                </c:pt>
                <c:pt idx="1">
                  <c:v>0</c:v>
                </c:pt>
              </c:numCache>
            </c:numRef>
          </c:yVal>
          <c:smooth val="1"/>
          <c:extLst>
            <c:ext xmlns:c16="http://schemas.microsoft.com/office/drawing/2014/chart" uri="{C3380CC4-5D6E-409C-BE32-E72D297353CC}">
              <c16:uniqueId val="{0000005D-A872-4B0D-9033-F88AE3D65486}"/>
            </c:ext>
          </c:extLst>
        </c:ser>
        <c:ser>
          <c:idx val="7"/>
          <c:order val="7"/>
          <c:tx>
            <c:strRef>
              <c:f>'D6913'!$A$116</c:f>
              <c:strCache>
                <c:ptCount val="1"/>
                <c:pt idx="0">
                  <c:v>3"</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7A-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'D6913'!$B$116:$B$117</c:f>
              <c:numCache>
                <c:formatCode>0.000</c:formatCode>
                <c:ptCount val="2"/>
                <c:pt idx="0">
                  <c:v>76.2</c:v>
                </c:pt>
                <c:pt idx="1">
                  <c:v>76.2</c:v>
                </c:pt>
              </c:numCache>
            </c:numRef>
          </c:xVal>
          <c:yVal>
            <c:numRef>
              <c:f>'D6913'!$C$116:$C$117</c:f>
              <c:numCache>
                <c:formatCode>General</c:formatCode>
                <c:ptCount val="2"/>
                <c:pt idx="0">
                  <c:v>100</c:v>
                </c:pt>
                <c:pt idx="1">
                  <c:v>0</c:v>
                </c:pt>
              </c:numCache>
            </c:numRef>
          </c:yVal>
          <c:smooth val="1"/>
          <c:extLst>
            <c:ext xmlns:c16="http://schemas.microsoft.com/office/drawing/2014/chart" uri="{C3380CC4-5D6E-409C-BE32-E72D297353CC}">
              <c16:uniqueId val="{0000005E-A872-4B0D-9033-F88AE3D65486}"/>
            </c:ext>
          </c:extLst>
        </c:ser>
        <c:ser>
          <c:idx val="8"/>
          <c:order val="8"/>
          <c:tx>
            <c:strRef>
              <c:f>'D6913'!$A$118</c:f>
              <c:strCache>
                <c:ptCount val="1"/>
                <c:pt idx="0">
                  <c:v>2 1/2"</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7B-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'D6913'!$B$118:$B$119</c:f>
              <c:numCache>
                <c:formatCode>0.000</c:formatCode>
                <c:ptCount val="2"/>
                <c:pt idx="0">
                  <c:v>63.5</c:v>
                </c:pt>
                <c:pt idx="1">
                  <c:v>63.5</c:v>
                </c:pt>
              </c:numCache>
            </c:numRef>
          </c:xVal>
          <c:yVal>
            <c:numRef>
              <c:f>'D6913'!$C$118:$C$119</c:f>
              <c:numCache>
                <c:formatCode>General</c:formatCode>
                <c:ptCount val="2"/>
                <c:pt idx="0">
                  <c:v>100</c:v>
                </c:pt>
                <c:pt idx="1">
                  <c:v>0</c:v>
                </c:pt>
              </c:numCache>
            </c:numRef>
          </c:yVal>
          <c:smooth val="1"/>
          <c:extLst>
            <c:ext xmlns:c16="http://schemas.microsoft.com/office/drawing/2014/chart" uri="{C3380CC4-5D6E-409C-BE32-E72D297353CC}">
              <c16:uniqueId val="{0000005F-A872-4B0D-9033-F88AE3D65486}"/>
            </c:ext>
          </c:extLst>
        </c:ser>
        <c:ser>
          <c:idx val="9"/>
          <c:order val="9"/>
          <c:tx>
            <c:strRef>
              <c:f>'D6913'!$A$120</c:f>
              <c:strCache>
                <c:ptCount val="1"/>
                <c:pt idx="0">
                  <c:v>2"</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7C-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'D6913'!$B$120:$B$121</c:f>
              <c:numCache>
                <c:formatCode>0.000</c:formatCode>
                <c:ptCount val="2"/>
                <c:pt idx="0">
                  <c:v>50.8</c:v>
                </c:pt>
                <c:pt idx="1">
                  <c:v>50.8</c:v>
                </c:pt>
              </c:numCache>
            </c:numRef>
          </c:xVal>
          <c:yVal>
            <c:numRef>
              <c:f>'D6913'!$C$120:$C$121</c:f>
              <c:numCache>
                <c:formatCode>General</c:formatCode>
                <c:ptCount val="2"/>
                <c:pt idx="0">
                  <c:v>100</c:v>
                </c:pt>
                <c:pt idx="1">
                  <c:v>0</c:v>
                </c:pt>
              </c:numCache>
            </c:numRef>
          </c:yVal>
          <c:smooth val="1"/>
          <c:extLst>
            <c:ext xmlns:c16="http://schemas.microsoft.com/office/drawing/2014/chart" uri="{C3380CC4-5D6E-409C-BE32-E72D297353CC}">
              <c16:uniqueId val="{00000060-A872-4B0D-9033-F88AE3D65486}"/>
            </c:ext>
          </c:extLst>
        </c:ser>
        <c:ser>
          <c:idx val="10"/>
          <c:order val="10"/>
          <c:tx>
            <c:strRef>
              <c:f>'D6913'!$A$122</c:f>
              <c:strCache>
                <c:ptCount val="1"/>
                <c:pt idx="0">
                  <c:v>1 1/2"</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7D-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'D6913'!$B$122:$B$123</c:f>
              <c:numCache>
                <c:formatCode>0.000</c:formatCode>
                <c:ptCount val="2"/>
                <c:pt idx="0">
                  <c:v>38.1</c:v>
                </c:pt>
                <c:pt idx="1">
                  <c:v>38.1</c:v>
                </c:pt>
              </c:numCache>
            </c:numRef>
          </c:xVal>
          <c:yVal>
            <c:numRef>
              <c:f>'D6913'!$C$122:$C$123</c:f>
              <c:numCache>
                <c:formatCode>General</c:formatCode>
                <c:ptCount val="2"/>
                <c:pt idx="0">
                  <c:v>100</c:v>
                </c:pt>
                <c:pt idx="1">
                  <c:v>0</c:v>
                </c:pt>
              </c:numCache>
            </c:numRef>
          </c:yVal>
          <c:smooth val="1"/>
          <c:extLst>
            <c:ext xmlns:c16="http://schemas.microsoft.com/office/drawing/2014/chart" uri="{C3380CC4-5D6E-409C-BE32-E72D297353CC}">
              <c16:uniqueId val="{00000061-A872-4B0D-9033-F88AE3D65486}"/>
            </c:ext>
          </c:extLst>
        </c:ser>
        <c:ser>
          <c:idx val="11"/>
          <c:order val="11"/>
          <c:tx>
            <c:strRef>
              <c:f>'D6913'!$A$124</c:f>
              <c:strCache>
                <c:ptCount val="1"/>
                <c:pt idx="0">
                  <c:v>1"</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7E-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'D6913'!$B$124:$B$125</c:f>
              <c:numCache>
                <c:formatCode>0.000</c:formatCode>
                <c:ptCount val="2"/>
                <c:pt idx="0">
                  <c:v>25.4</c:v>
                </c:pt>
                <c:pt idx="1">
                  <c:v>25.4</c:v>
                </c:pt>
              </c:numCache>
            </c:numRef>
          </c:xVal>
          <c:yVal>
            <c:numRef>
              <c:f>'D6913'!$C$124:$C$125</c:f>
              <c:numCache>
                <c:formatCode>General</c:formatCode>
                <c:ptCount val="2"/>
                <c:pt idx="0">
                  <c:v>100</c:v>
                </c:pt>
                <c:pt idx="1">
                  <c:v>0</c:v>
                </c:pt>
              </c:numCache>
            </c:numRef>
          </c:yVal>
          <c:smooth val="1"/>
          <c:extLst>
            <c:ext xmlns:c16="http://schemas.microsoft.com/office/drawing/2014/chart" uri="{C3380CC4-5D6E-409C-BE32-E72D297353CC}">
              <c16:uniqueId val="{00000062-A872-4B0D-9033-F88AE3D65486}"/>
            </c:ext>
          </c:extLst>
        </c:ser>
        <c:ser>
          <c:idx val="12"/>
          <c:order val="12"/>
          <c:tx>
            <c:strRef>
              <c:f>'D6913'!$A$126</c:f>
              <c:strCache>
                <c:ptCount val="1"/>
                <c:pt idx="0">
                  <c:v>3/4"</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7F-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'D6913'!$B$126:$B$127</c:f>
              <c:numCache>
                <c:formatCode>0.000</c:formatCode>
                <c:ptCount val="2"/>
                <c:pt idx="0">
                  <c:v>19.05</c:v>
                </c:pt>
                <c:pt idx="1">
                  <c:v>19.05</c:v>
                </c:pt>
              </c:numCache>
            </c:numRef>
          </c:xVal>
          <c:yVal>
            <c:numRef>
              <c:f>'D6913'!$C$126:$C$127</c:f>
              <c:numCache>
                <c:formatCode>General</c:formatCode>
                <c:ptCount val="2"/>
                <c:pt idx="0">
                  <c:v>100</c:v>
                </c:pt>
                <c:pt idx="1">
                  <c:v>0</c:v>
                </c:pt>
              </c:numCache>
            </c:numRef>
          </c:yVal>
          <c:smooth val="1"/>
          <c:extLst>
            <c:ext xmlns:c16="http://schemas.microsoft.com/office/drawing/2014/chart" uri="{C3380CC4-5D6E-409C-BE32-E72D297353CC}">
              <c16:uniqueId val="{00000063-A872-4B0D-9033-F88AE3D65486}"/>
            </c:ext>
          </c:extLst>
        </c:ser>
        <c:ser>
          <c:idx val="13"/>
          <c:order val="13"/>
          <c:tx>
            <c:strRef>
              <c:f>'D6913'!$A$128</c:f>
              <c:strCache>
                <c:ptCount val="1"/>
                <c:pt idx="0">
                  <c:v>1/2"</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0-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'D6913'!$B$128:$B$129</c:f>
              <c:numCache>
                <c:formatCode>0.000</c:formatCode>
                <c:ptCount val="2"/>
                <c:pt idx="0">
                  <c:v>12.5</c:v>
                </c:pt>
                <c:pt idx="1">
                  <c:v>12.5</c:v>
                </c:pt>
              </c:numCache>
            </c:numRef>
          </c:xVal>
          <c:yVal>
            <c:numRef>
              <c:f>'D6913'!$C$128:$C$129</c:f>
              <c:numCache>
                <c:formatCode>General</c:formatCode>
                <c:ptCount val="2"/>
                <c:pt idx="0">
                  <c:v>100</c:v>
                </c:pt>
                <c:pt idx="1">
                  <c:v>0</c:v>
                </c:pt>
              </c:numCache>
            </c:numRef>
          </c:yVal>
          <c:smooth val="1"/>
          <c:extLst>
            <c:ext xmlns:c16="http://schemas.microsoft.com/office/drawing/2014/chart" uri="{C3380CC4-5D6E-409C-BE32-E72D297353CC}">
              <c16:uniqueId val="{00000064-A872-4B0D-9033-F88AE3D65486}"/>
            </c:ext>
          </c:extLst>
        </c:ser>
        <c:ser>
          <c:idx val="14"/>
          <c:order val="14"/>
          <c:tx>
            <c:strRef>
              <c:f>'D6913'!$A$130</c:f>
              <c:strCache>
                <c:ptCount val="1"/>
                <c:pt idx="0">
                  <c:v>3/8"</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1-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'D6913'!$B$130:$B$131</c:f>
              <c:numCache>
                <c:formatCode>0.000</c:formatCode>
                <c:ptCount val="2"/>
                <c:pt idx="0">
                  <c:v>9.5</c:v>
                </c:pt>
                <c:pt idx="1">
                  <c:v>9.5</c:v>
                </c:pt>
              </c:numCache>
            </c:numRef>
          </c:xVal>
          <c:yVal>
            <c:numRef>
              <c:f>'D6913'!$C$130:$C$131</c:f>
              <c:numCache>
                <c:formatCode>General</c:formatCode>
                <c:ptCount val="2"/>
                <c:pt idx="0">
                  <c:v>100</c:v>
                </c:pt>
                <c:pt idx="1">
                  <c:v>0</c:v>
                </c:pt>
              </c:numCache>
            </c:numRef>
          </c:yVal>
          <c:smooth val="1"/>
          <c:extLst>
            <c:ext xmlns:c16="http://schemas.microsoft.com/office/drawing/2014/chart" uri="{C3380CC4-5D6E-409C-BE32-E72D297353CC}">
              <c16:uniqueId val="{00000065-A872-4B0D-9033-F88AE3D65486}"/>
            </c:ext>
          </c:extLst>
        </c:ser>
        <c:ser>
          <c:idx val="15"/>
          <c:order val="15"/>
          <c:tx>
            <c:strRef>
              <c:f>'D6913'!$A$132</c:f>
              <c:strCache>
                <c:ptCount val="1"/>
                <c:pt idx="0">
                  <c:v>1/4"</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2-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'D6913'!$B$132:$B$133</c:f>
              <c:numCache>
                <c:formatCode>0.000</c:formatCode>
                <c:ptCount val="2"/>
                <c:pt idx="0">
                  <c:v>6.35</c:v>
                </c:pt>
                <c:pt idx="1">
                  <c:v>6.35</c:v>
                </c:pt>
              </c:numCache>
            </c:numRef>
          </c:xVal>
          <c:yVal>
            <c:numRef>
              <c:f>'D6913'!$C$132:$C$133</c:f>
              <c:numCache>
                <c:formatCode>General</c:formatCode>
                <c:ptCount val="2"/>
                <c:pt idx="0">
                  <c:v>100</c:v>
                </c:pt>
                <c:pt idx="1">
                  <c:v>0</c:v>
                </c:pt>
              </c:numCache>
            </c:numRef>
          </c:yVal>
          <c:smooth val="1"/>
          <c:extLst>
            <c:ext xmlns:c16="http://schemas.microsoft.com/office/drawing/2014/chart" uri="{C3380CC4-5D6E-409C-BE32-E72D297353CC}">
              <c16:uniqueId val="{00000066-A872-4B0D-9033-F88AE3D65486}"/>
            </c:ext>
          </c:extLst>
        </c:ser>
        <c:ser>
          <c:idx val="16"/>
          <c:order val="16"/>
          <c:tx>
            <c:strRef>
              <c:f>'D6913'!$A$134</c:f>
              <c:strCache>
                <c:ptCount val="1"/>
                <c:pt idx="0">
                  <c:v>N° 4</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3-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'D6913'!$B$134:$B$135</c:f>
              <c:numCache>
                <c:formatCode>0.000</c:formatCode>
                <c:ptCount val="2"/>
                <c:pt idx="0">
                  <c:v>4.75</c:v>
                </c:pt>
                <c:pt idx="1">
                  <c:v>4.75</c:v>
                </c:pt>
              </c:numCache>
            </c:numRef>
          </c:xVal>
          <c:yVal>
            <c:numRef>
              <c:f>'D6913'!$C$134:$C$135</c:f>
              <c:numCache>
                <c:formatCode>General</c:formatCode>
                <c:ptCount val="2"/>
                <c:pt idx="0">
                  <c:v>100</c:v>
                </c:pt>
                <c:pt idx="1">
                  <c:v>0</c:v>
                </c:pt>
              </c:numCache>
            </c:numRef>
          </c:yVal>
          <c:smooth val="1"/>
          <c:extLst>
            <c:ext xmlns:c16="http://schemas.microsoft.com/office/drawing/2014/chart" uri="{C3380CC4-5D6E-409C-BE32-E72D297353CC}">
              <c16:uniqueId val="{00000067-A872-4B0D-9033-F88AE3D65486}"/>
            </c:ext>
          </c:extLst>
        </c:ser>
        <c:ser>
          <c:idx val="17"/>
          <c:order val="17"/>
          <c:tx>
            <c:strRef>
              <c:f>'D6913'!$A$136</c:f>
              <c:strCache>
                <c:ptCount val="1"/>
                <c:pt idx="0">
                  <c:v>N° 8</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4-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'D6913'!$B$136:$B$137</c:f>
              <c:numCache>
                <c:formatCode>0.000</c:formatCode>
                <c:ptCount val="2"/>
                <c:pt idx="0">
                  <c:v>2.36</c:v>
                </c:pt>
                <c:pt idx="1">
                  <c:v>2.36</c:v>
                </c:pt>
              </c:numCache>
            </c:numRef>
          </c:xVal>
          <c:yVal>
            <c:numRef>
              <c:f>'D6913'!$C$136:$C$137</c:f>
              <c:numCache>
                <c:formatCode>General</c:formatCode>
                <c:ptCount val="2"/>
                <c:pt idx="0">
                  <c:v>100</c:v>
                </c:pt>
                <c:pt idx="1">
                  <c:v>0</c:v>
                </c:pt>
              </c:numCache>
            </c:numRef>
          </c:yVal>
          <c:smooth val="1"/>
          <c:extLst>
            <c:ext xmlns:c16="http://schemas.microsoft.com/office/drawing/2014/chart" uri="{C3380CC4-5D6E-409C-BE32-E72D297353CC}">
              <c16:uniqueId val="{00000068-A872-4B0D-9033-F88AE3D65486}"/>
            </c:ext>
          </c:extLst>
        </c:ser>
        <c:ser>
          <c:idx val="18"/>
          <c:order val="18"/>
          <c:tx>
            <c:strRef>
              <c:f>'D6913'!$A$138</c:f>
              <c:strCache>
                <c:ptCount val="1"/>
                <c:pt idx="0">
                  <c:v>N° 10</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5-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'D6913'!$B$138:$B$139</c:f>
              <c:numCache>
                <c:formatCode>0.000</c:formatCode>
                <c:ptCount val="2"/>
                <c:pt idx="0">
                  <c:v>2</c:v>
                </c:pt>
                <c:pt idx="1">
                  <c:v>2</c:v>
                </c:pt>
              </c:numCache>
            </c:numRef>
          </c:xVal>
          <c:yVal>
            <c:numRef>
              <c:f>'D6913'!$C$138:$C$139</c:f>
              <c:numCache>
                <c:formatCode>General</c:formatCode>
                <c:ptCount val="2"/>
                <c:pt idx="0">
                  <c:v>100</c:v>
                </c:pt>
                <c:pt idx="1">
                  <c:v>0</c:v>
                </c:pt>
              </c:numCache>
            </c:numRef>
          </c:yVal>
          <c:smooth val="1"/>
          <c:extLst>
            <c:ext xmlns:c16="http://schemas.microsoft.com/office/drawing/2014/chart" uri="{C3380CC4-5D6E-409C-BE32-E72D297353CC}">
              <c16:uniqueId val="{00000069-A872-4B0D-9033-F88AE3D65486}"/>
            </c:ext>
          </c:extLst>
        </c:ser>
        <c:ser>
          <c:idx val="19"/>
          <c:order val="19"/>
          <c:tx>
            <c:strRef>
              <c:f>'D6913'!$A$140</c:f>
              <c:strCache>
                <c:ptCount val="1"/>
                <c:pt idx="0">
                  <c:v>N° 16</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6-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'D6913'!$B$140:$B$141</c:f>
              <c:numCache>
                <c:formatCode>0.000</c:formatCode>
                <c:ptCount val="2"/>
                <c:pt idx="0">
                  <c:v>1.19</c:v>
                </c:pt>
                <c:pt idx="1">
                  <c:v>1.19</c:v>
                </c:pt>
              </c:numCache>
            </c:numRef>
          </c:xVal>
          <c:yVal>
            <c:numRef>
              <c:f>'D6913'!$C$140:$C$141</c:f>
              <c:numCache>
                <c:formatCode>General</c:formatCode>
                <c:ptCount val="2"/>
                <c:pt idx="0">
                  <c:v>100</c:v>
                </c:pt>
                <c:pt idx="1">
                  <c:v>0</c:v>
                </c:pt>
              </c:numCache>
            </c:numRef>
          </c:yVal>
          <c:smooth val="1"/>
          <c:extLst>
            <c:ext xmlns:c16="http://schemas.microsoft.com/office/drawing/2014/chart" uri="{C3380CC4-5D6E-409C-BE32-E72D297353CC}">
              <c16:uniqueId val="{0000006A-A872-4B0D-9033-F88AE3D65486}"/>
            </c:ext>
          </c:extLst>
        </c:ser>
        <c:ser>
          <c:idx val="20"/>
          <c:order val="20"/>
          <c:tx>
            <c:strRef>
              <c:f>'D6913'!$A$142</c:f>
              <c:strCache>
                <c:ptCount val="1"/>
                <c:pt idx="0">
                  <c:v>N° 20</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7-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'D6913'!$B$142:$B$143</c:f>
              <c:numCache>
                <c:formatCode>0.000</c:formatCode>
                <c:ptCount val="2"/>
                <c:pt idx="0">
                  <c:v>0.84</c:v>
                </c:pt>
                <c:pt idx="1">
                  <c:v>0.84</c:v>
                </c:pt>
              </c:numCache>
            </c:numRef>
          </c:xVal>
          <c:yVal>
            <c:numRef>
              <c:f>'D6913'!$C$142:$C$143</c:f>
              <c:numCache>
                <c:formatCode>General</c:formatCode>
                <c:ptCount val="2"/>
                <c:pt idx="0">
                  <c:v>100</c:v>
                </c:pt>
                <c:pt idx="1">
                  <c:v>0</c:v>
                </c:pt>
              </c:numCache>
            </c:numRef>
          </c:yVal>
          <c:smooth val="1"/>
          <c:extLst>
            <c:ext xmlns:c16="http://schemas.microsoft.com/office/drawing/2014/chart" uri="{C3380CC4-5D6E-409C-BE32-E72D297353CC}">
              <c16:uniqueId val="{0000006B-A872-4B0D-9033-F88AE3D65486}"/>
            </c:ext>
          </c:extLst>
        </c:ser>
        <c:ser>
          <c:idx val="21"/>
          <c:order val="21"/>
          <c:tx>
            <c:strRef>
              <c:f>'D6913'!$A$144</c:f>
              <c:strCache>
                <c:ptCount val="1"/>
                <c:pt idx="0">
                  <c:v>Nº 30</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8-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'D6913'!$B$144:$B$145</c:f>
              <c:numCache>
                <c:formatCode>0.000</c:formatCode>
                <c:ptCount val="2"/>
                <c:pt idx="0">
                  <c:v>0.6</c:v>
                </c:pt>
                <c:pt idx="1">
                  <c:v>0.6</c:v>
                </c:pt>
              </c:numCache>
            </c:numRef>
          </c:xVal>
          <c:yVal>
            <c:numRef>
              <c:f>'D6913'!$C$144:$C$145</c:f>
              <c:numCache>
                <c:formatCode>General</c:formatCode>
                <c:ptCount val="2"/>
                <c:pt idx="0">
                  <c:v>100</c:v>
                </c:pt>
                <c:pt idx="1">
                  <c:v>0</c:v>
                </c:pt>
              </c:numCache>
            </c:numRef>
          </c:yVal>
          <c:smooth val="1"/>
          <c:extLst>
            <c:ext xmlns:c16="http://schemas.microsoft.com/office/drawing/2014/chart" uri="{C3380CC4-5D6E-409C-BE32-E72D297353CC}">
              <c16:uniqueId val="{0000006C-A872-4B0D-9033-F88AE3D65486}"/>
            </c:ext>
          </c:extLst>
        </c:ser>
        <c:ser>
          <c:idx val="22"/>
          <c:order val="22"/>
          <c:tx>
            <c:strRef>
              <c:f>'D6913'!$A$146</c:f>
              <c:strCache>
                <c:ptCount val="1"/>
                <c:pt idx="0">
                  <c:v>N° 40</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9-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'D6913'!$B$146:$B$147</c:f>
              <c:numCache>
                <c:formatCode>0.000</c:formatCode>
                <c:ptCount val="2"/>
                <c:pt idx="0">
                  <c:v>0.42499999999999999</c:v>
                </c:pt>
                <c:pt idx="1">
                  <c:v>0.42499999999999999</c:v>
                </c:pt>
              </c:numCache>
            </c:numRef>
          </c:xVal>
          <c:yVal>
            <c:numRef>
              <c:f>'D6913'!$C$146:$C$147</c:f>
              <c:numCache>
                <c:formatCode>General</c:formatCode>
                <c:ptCount val="2"/>
                <c:pt idx="0">
                  <c:v>100</c:v>
                </c:pt>
                <c:pt idx="1">
                  <c:v>0</c:v>
                </c:pt>
              </c:numCache>
            </c:numRef>
          </c:yVal>
          <c:smooth val="1"/>
          <c:extLst>
            <c:ext xmlns:c16="http://schemas.microsoft.com/office/drawing/2014/chart" uri="{C3380CC4-5D6E-409C-BE32-E72D297353CC}">
              <c16:uniqueId val="{0000006D-A872-4B0D-9033-F88AE3D65486}"/>
            </c:ext>
          </c:extLst>
        </c:ser>
        <c:ser>
          <c:idx val="23"/>
          <c:order val="23"/>
          <c:tx>
            <c:strRef>
              <c:f>'D6913'!$A$148</c:f>
              <c:strCache>
                <c:ptCount val="1"/>
                <c:pt idx="0">
                  <c:v>N° 50</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A-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'D6913'!$B$148:$B$149</c:f>
              <c:numCache>
                <c:formatCode>0.000</c:formatCode>
                <c:ptCount val="2"/>
                <c:pt idx="0">
                  <c:v>0.29699999999999999</c:v>
                </c:pt>
                <c:pt idx="1">
                  <c:v>0.29699999999999999</c:v>
                </c:pt>
              </c:numCache>
            </c:numRef>
          </c:xVal>
          <c:yVal>
            <c:numRef>
              <c:f>'D6913'!$C$148:$C$149</c:f>
              <c:numCache>
                <c:formatCode>General</c:formatCode>
                <c:ptCount val="2"/>
                <c:pt idx="0">
                  <c:v>100</c:v>
                </c:pt>
                <c:pt idx="1">
                  <c:v>0</c:v>
                </c:pt>
              </c:numCache>
            </c:numRef>
          </c:yVal>
          <c:smooth val="1"/>
          <c:extLst>
            <c:ext xmlns:c16="http://schemas.microsoft.com/office/drawing/2014/chart" uri="{C3380CC4-5D6E-409C-BE32-E72D297353CC}">
              <c16:uniqueId val="{0000006E-A872-4B0D-9033-F88AE3D65486}"/>
            </c:ext>
          </c:extLst>
        </c:ser>
        <c:ser>
          <c:idx val="24"/>
          <c:order val="24"/>
          <c:tx>
            <c:strRef>
              <c:f>'D6913'!$A$150</c:f>
              <c:strCache>
                <c:ptCount val="1"/>
                <c:pt idx="0">
                  <c:v>N° 60</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B-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'D6913'!$B$150:$B$151</c:f>
              <c:numCache>
                <c:formatCode>0.000</c:formatCode>
                <c:ptCount val="2"/>
                <c:pt idx="0">
                  <c:v>0.25</c:v>
                </c:pt>
                <c:pt idx="1">
                  <c:v>0.25</c:v>
                </c:pt>
              </c:numCache>
            </c:numRef>
          </c:xVal>
          <c:yVal>
            <c:numRef>
              <c:f>'D6913'!$C$150:$C$151</c:f>
              <c:numCache>
                <c:formatCode>General</c:formatCode>
                <c:ptCount val="2"/>
                <c:pt idx="0">
                  <c:v>100</c:v>
                </c:pt>
                <c:pt idx="1">
                  <c:v>0</c:v>
                </c:pt>
              </c:numCache>
            </c:numRef>
          </c:yVal>
          <c:smooth val="1"/>
          <c:extLst>
            <c:ext xmlns:c16="http://schemas.microsoft.com/office/drawing/2014/chart" uri="{C3380CC4-5D6E-409C-BE32-E72D297353CC}">
              <c16:uniqueId val="{0000006F-A872-4B0D-9033-F88AE3D65486}"/>
            </c:ext>
          </c:extLst>
        </c:ser>
        <c:ser>
          <c:idx val="25"/>
          <c:order val="25"/>
          <c:tx>
            <c:strRef>
              <c:f>'D6913'!$A$152</c:f>
              <c:strCache>
                <c:ptCount val="1"/>
                <c:pt idx="0">
                  <c:v>Nº 80</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C-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'D6913'!$B$152:$B$153</c:f>
              <c:numCache>
                <c:formatCode>0.000</c:formatCode>
                <c:ptCount val="2"/>
                <c:pt idx="0">
                  <c:v>0.17699999999999999</c:v>
                </c:pt>
                <c:pt idx="1">
                  <c:v>0.17699999999999999</c:v>
                </c:pt>
              </c:numCache>
            </c:numRef>
          </c:xVal>
          <c:yVal>
            <c:numRef>
              <c:f>'D6913'!$C$152:$C$153</c:f>
              <c:numCache>
                <c:formatCode>General</c:formatCode>
                <c:ptCount val="2"/>
                <c:pt idx="0">
                  <c:v>100</c:v>
                </c:pt>
                <c:pt idx="1">
                  <c:v>0</c:v>
                </c:pt>
              </c:numCache>
            </c:numRef>
          </c:yVal>
          <c:smooth val="1"/>
          <c:extLst>
            <c:ext xmlns:c16="http://schemas.microsoft.com/office/drawing/2014/chart" uri="{C3380CC4-5D6E-409C-BE32-E72D297353CC}">
              <c16:uniqueId val="{00000070-A872-4B0D-9033-F88AE3D65486}"/>
            </c:ext>
          </c:extLst>
        </c:ser>
        <c:ser>
          <c:idx val="26"/>
          <c:order val="26"/>
          <c:tx>
            <c:strRef>
              <c:f>'D6913'!$A$154</c:f>
              <c:strCache>
                <c:ptCount val="1"/>
                <c:pt idx="0">
                  <c:v>N°100</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D-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'D6913'!$B$154:$B$155</c:f>
              <c:numCache>
                <c:formatCode>0.000</c:formatCode>
                <c:ptCount val="2"/>
                <c:pt idx="0">
                  <c:v>0.15</c:v>
                </c:pt>
                <c:pt idx="1">
                  <c:v>0.15</c:v>
                </c:pt>
              </c:numCache>
            </c:numRef>
          </c:xVal>
          <c:yVal>
            <c:numRef>
              <c:f>'D6913'!$C$154:$C$155</c:f>
              <c:numCache>
                <c:formatCode>General</c:formatCode>
                <c:ptCount val="2"/>
                <c:pt idx="0">
                  <c:v>100</c:v>
                </c:pt>
                <c:pt idx="1">
                  <c:v>0</c:v>
                </c:pt>
              </c:numCache>
            </c:numRef>
          </c:yVal>
          <c:smooth val="1"/>
          <c:extLst>
            <c:ext xmlns:c16="http://schemas.microsoft.com/office/drawing/2014/chart" uri="{C3380CC4-5D6E-409C-BE32-E72D297353CC}">
              <c16:uniqueId val="{00000071-A872-4B0D-9033-F88AE3D65486}"/>
            </c:ext>
          </c:extLst>
        </c:ser>
        <c:ser>
          <c:idx val="28"/>
          <c:order val="28"/>
          <c:tx>
            <c:strRef>
              <c:f>'D6913'!$A$158</c:f>
              <c:strCache>
                <c:ptCount val="1"/>
                <c:pt idx="0">
                  <c:v>N°200</c:v>
                </c:pt>
              </c:strCache>
            </c:strRef>
          </c:tx>
          <c:spPr>
            <a:ln w="3175">
              <a:solidFill>
                <a:srgbClr val="002060"/>
              </a:solidFill>
              <a:prstDash val="sysDash"/>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8E-A872-4B0D-9033-F88AE3D65486}"/>
                </c:ext>
              </c:extLst>
            </c:dLbl>
            <c:spPr>
              <a:noFill/>
              <a:ln>
                <a:noFill/>
              </a:ln>
              <a:effectLst/>
            </c:spPr>
            <c:txPr>
              <a:bodyPr rot="-5400000" vert="horz" wrap="square" lIns="38100" tIns="19050" rIns="38100" bIns="19050" anchor="ctr">
                <a:spAutoFit/>
              </a:bodyPr>
              <a:lstStyle/>
              <a:p>
                <a:pPr>
                  <a:defRPr/>
                </a:pPr>
                <a:endParaRPr lang="es-P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'D6913'!$B$158:$B$159</c:f>
              <c:numCache>
                <c:formatCode>0.000</c:formatCode>
                <c:ptCount val="2"/>
                <c:pt idx="0">
                  <c:v>7.4999999999999997E-2</c:v>
                </c:pt>
                <c:pt idx="1">
                  <c:v>7.4999999999999997E-2</c:v>
                </c:pt>
              </c:numCache>
            </c:numRef>
          </c:xVal>
          <c:yVal>
            <c:numRef>
              <c:f>'D6913'!$C$158:$C$159</c:f>
              <c:numCache>
                <c:formatCode>General</c:formatCode>
                <c:ptCount val="2"/>
                <c:pt idx="0">
                  <c:v>100</c:v>
                </c:pt>
                <c:pt idx="1">
                  <c:v>0</c:v>
                </c:pt>
              </c:numCache>
            </c:numRef>
          </c:yVal>
          <c:smooth val="1"/>
          <c:extLst>
            <c:ext xmlns:c16="http://schemas.microsoft.com/office/drawing/2014/chart" uri="{C3380CC4-5D6E-409C-BE32-E72D297353CC}">
              <c16:uniqueId val="{00000073-A872-4B0D-9033-F88AE3D65486}"/>
            </c:ext>
          </c:extLst>
        </c:ser>
        <c:ser>
          <c:idx val="29"/>
          <c:order val="29"/>
          <c:tx>
            <c:v>curva granulometrica</c:v>
          </c:tx>
          <c:spPr>
            <a:ln w="22225">
              <a:solidFill>
                <a:srgbClr val="FF0000"/>
              </a:solidFill>
              <a:prstDash val="sysDash"/>
            </a:ln>
          </c:spPr>
          <c:marker>
            <c:symbol val="circle"/>
            <c:size val="5"/>
            <c:spPr>
              <a:solidFill>
                <a:schemeClr val="lt1"/>
              </a:solidFill>
              <a:ln w="12700">
                <a:solidFill>
                  <a:srgbClr val="C00000"/>
                </a:solidFill>
              </a:ln>
            </c:spPr>
          </c:marker>
          <c:xVal>
            <c:numRef>
              <c:f>'D6913'!$B$22:$B$46</c:f>
              <c:numCache>
                <c:formatCode>0.000</c:formatCode>
                <c:ptCount val="24"/>
                <c:pt idx="0">
                  <c:v>152.4</c:v>
                </c:pt>
                <c:pt idx="1">
                  <c:v>127</c:v>
                </c:pt>
                <c:pt idx="2">
                  <c:v>101.6</c:v>
                </c:pt>
                <c:pt idx="3">
                  <c:v>76.2</c:v>
                </c:pt>
                <c:pt idx="4">
                  <c:v>63.5</c:v>
                </c:pt>
                <c:pt idx="5">
                  <c:v>50.8</c:v>
                </c:pt>
                <c:pt idx="6">
                  <c:v>38.1</c:v>
                </c:pt>
                <c:pt idx="7">
                  <c:v>25.4</c:v>
                </c:pt>
                <c:pt idx="8">
                  <c:v>19.05</c:v>
                </c:pt>
                <c:pt idx="9">
                  <c:v>12.5</c:v>
                </c:pt>
                <c:pt idx="10">
                  <c:v>9.5</c:v>
                </c:pt>
                <c:pt idx="11">
                  <c:v>6.35</c:v>
                </c:pt>
                <c:pt idx="12">
                  <c:v>4.75</c:v>
                </c:pt>
                <c:pt idx="13">
                  <c:v>2.36</c:v>
                </c:pt>
                <c:pt idx="14">
                  <c:v>2</c:v>
                </c:pt>
                <c:pt idx="15">
                  <c:v>1.19</c:v>
                </c:pt>
                <c:pt idx="16">
                  <c:v>0.84</c:v>
                </c:pt>
                <c:pt idx="17">
                  <c:v>0.6</c:v>
                </c:pt>
                <c:pt idx="18">
                  <c:v>0.42499999999999999</c:v>
                </c:pt>
                <c:pt idx="19">
                  <c:v>0.29699999999999999</c:v>
                </c:pt>
                <c:pt idx="20">
                  <c:v>0.25</c:v>
                </c:pt>
                <c:pt idx="21">
                  <c:v>0.17699999999999999</c:v>
                </c:pt>
                <c:pt idx="22">
                  <c:v>0.15</c:v>
                </c:pt>
                <c:pt idx="23">
                  <c:v>7.4999999999999997E-2</c:v>
                </c:pt>
              </c:numCache>
            </c:numRef>
          </c:xVal>
          <c:yVal>
            <c:numRef>
              <c:f>'D6913'!$F$22:$F$46</c:f>
              <c:numCache>
                <c:formatCode>0.0</c:formatCode>
                <c:ptCount val="24"/>
                <c:pt idx="0">
                  <c:v>100</c:v>
                </c:pt>
                <c:pt idx="1">
                  <c:v>100</c:v>
                </c:pt>
                <c:pt idx="2">
                  <c:v>100</c:v>
                </c:pt>
                <c:pt idx="3">
                  <c:v>96.337256541333346</c:v>
                </c:pt>
                <c:pt idx="4">
                  <c:v>93.104579154284067</c:v>
                </c:pt>
                <c:pt idx="5">
                  <c:v>90.279999827335359</c:v>
                </c:pt>
                <c:pt idx="6">
                  <c:v>86.400955947580215</c:v>
                </c:pt>
                <c:pt idx="7">
                  <c:v>81.448014274061421</c:v>
                </c:pt>
                <c:pt idx="8">
                  <c:v>78.32602186811603</c:v>
                </c:pt>
                <c:pt idx="9">
                  <c:v>72.830639294836232</c:v>
                </c:pt>
                <c:pt idx="10">
                  <c:v>70.05591045556028</c:v>
                </c:pt>
                <c:pt idx="11">
                  <c:v>65.444317884071779</c:v>
                </c:pt>
                <c:pt idx="12">
                  <c:v>62.47525663522412</c:v>
                </c:pt>
                <c:pt idx="13">
                  <c:v>55.490065782435494</c:v>
                </c:pt>
                <c:pt idx="14">
                  <c:v>52.573077780713355</c:v>
                </c:pt>
                <c:pt idx="15">
                  <c:v>43.726900517330485</c:v>
                </c:pt>
                <c:pt idx="16">
                  <c:v>38.455548312437955</c:v>
                </c:pt>
                <c:pt idx="17">
                  <c:v>33.608327894145972</c:v>
                </c:pt>
                <c:pt idx="18">
                  <c:v>29.505502040091685</c:v>
                </c:pt>
                <c:pt idx="19">
                  <c:v>26.441366275671399</c:v>
                </c:pt>
                <c:pt idx="20">
                  <c:v>24.762150630763102</c:v>
                </c:pt>
                <c:pt idx="21">
                  <c:v>22.364507673857958</c:v>
                </c:pt>
                <c:pt idx="22">
                  <c:v>21.066145061815462</c:v>
                </c:pt>
                <c:pt idx="23">
                  <c:v>17.326860739133082</c:v>
                </c:pt>
              </c:numCache>
            </c:numRef>
          </c:yVal>
          <c:smooth val="1"/>
          <c:extLst>
            <c:ext xmlns:c16="http://schemas.microsoft.com/office/drawing/2014/chart" uri="{C3380CC4-5D6E-409C-BE32-E72D297353CC}">
              <c16:uniqueId val="{00000074-A872-4B0D-9033-F88AE3D65486}"/>
            </c:ext>
          </c:extLst>
        </c:ser>
        <c:ser>
          <c:idx val="47"/>
          <c:order val="32"/>
          <c:tx>
            <c:strRef>
              <c:f>'D6913'!$I$147:$J$147</c:f>
              <c:strCache>
                <c:ptCount val="1"/>
                <c:pt idx="0">
                  <c:v>Mínimo Contenido de Finos</c:v>
                </c:pt>
              </c:strCache>
            </c:strRef>
          </c:tx>
          <c:spPr>
            <a:ln w="19050">
              <a:solidFill>
                <a:srgbClr val="002060"/>
              </a:solidFill>
              <a:prstDash val="dash"/>
            </a:ln>
          </c:spPr>
          <c:marker>
            <c:symbol val="none"/>
          </c:marker>
          <c:trendline>
            <c:spPr>
              <a:ln w="22225">
                <a:solidFill>
                  <a:srgbClr val="0070C0"/>
                </a:solidFill>
                <a:prstDash val="sysDot"/>
              </a:ln>
            </c:spPr>
            <c:trendlineType val="linear"/>
            <c:dispRSqr val="0"/>
            <c:dispEq val="0"/>
          </c:trendline>
          <c:xVal>
            <c:numRef>
              <c:f>'D6913'!$I$149:$I$154</c:f>
              <c:numCache>
                <c:formatCode>General</c:formatCode>
                <c:ptCount val="6"/>
                <c:pt idx="0">
                  <c:v>1000</c:v>
                </c:pt>
                <c:pt idx="1">
                  <c:v>100</c:v>
                </c:pt>
                <c:pt idx="2">
                  <c:v>10</c:v>
                </c:pt>
                <c:pt idx="3">
                  <c:v>1</c:v>
                </c:pt>
                <c:pt idx="4">
                  <c:v>0.1</c:v>
                </c:pt>
                <c:pt idx="5">
                  <c:v>0.01</c:v>
                </c:pt>
              </c:numCache>
            </c:numRef>
          </c:xVal>
          <c:yVal>
            <c:numRef>
              <c:f>'D6913'!$J$149:$J$154</c:f>
              <c:numCache>
                <c:formatCode>General</c:formatCode>
                <c:ptCount val="6"/>
                <c:pt idx="0">
                  <c:v>15</c:v>
                </c:pt>
                <c:pt idx="1">
                  <c:v>15</c:v>
                </c:pt>
                <c:pt idx="2">
                  <c:v>15</c:v>
                </c:pt>
                <c:pt idx="3">
                  <c:v>15</c:v>
                </c:pt>
                <c:pt idx="4">
                  <c:v>15</c:v>
                </c:pt>
                <c:pt idx="5">
                  <c:v>15</c:v>
                </c:pt>
              </c:numCache>
            </c:numRef>
          </c:yVal>
          <c:smooth val="0"/>
          <c:extLst xmlns:c15="http://schemas.microsoft.com/office/drawing/2012/chart">
            <c:ext xmlns:c16="http://schemas.microsoft.com/office/drawing/2014/chart" uri="{C3380CC4-5D6E-409C-BE32-E72D297353CC}">
              <c16:uniqueId val="{0000003C-A872-4B0D-9033-F88AE3D65486}"/>
            </c:ext>
          </c:extLst>
        </c:ser>
        <c:ser>
          <c:idx val="86"/>
          <c:order val="33"/>
          <c:tx>
            <c:strRef>
              <c:f>'D6913'!$L$146:$M$146</c:f>
              <c:strCache>
                <c:ptCount val="1"/>
                <c:pt idx="0">
                  <c:v>Tamaño máximo de Partícula</c:v>
                </c:pt>
              </c:strCache>
            </c:strRef>
          </c:tx>
          <c:spPr>
            <a:ln w="19050">
              <a:solidFill>
                <a:srgbClr val="002060"/>
              </a:solidFill>
              <a:prstDash val="dash"/>
            </a:ln>
          </c:spPr>
          <c:marker>
            <c:symbol val="none"/>
          </c:marker>
          <c:xVal>
            <c:numRef>
              <c:f>'D6913'!$L$149:$L$150</c:f>
              <c:numCache>
                <c:formatCode>General</c:formatCode>
                <c:ptCount val="2"/>
                <c:pt idx="0">
                  <c:v>150</c:v>
                </c:pt>
                <c:pt idx="1">
                  <c:v>150</c:v>
                </c:pt>
              </c:numCache>
            </c:numRef>
          </c:xVal>
          <c:yVal>
            <c:numRef>
              <c:f>'D6913'!$M$149:$M$150</c:f>
              <c:numCache>
                <c:formatCode>General</c:formatCode>
                <c:ptCount val="2"/>
                <c:pt idx="0">
                  <c:v>0</c:v>
                </c:pt>
                <c:pt idx="1">
                  <c:v>100</c:v>
                </c:pt>
              </c:numCache>
            </c:numRef>
          </c:yVal>
          <c:smooth val="1"/>
          <c:extLst xmlns:c15="http://schemas.microsoft.com/office/drawing/2012/chart">
            <c:ext xmlns:c16="http://schemas.microsoft.com/office/drawing/2014/chart" uri="{C3380CC4-5D6E-409C-BE32-E72D297353CC}">
              <c16:uniqueId val="{0000003E-A872-4B0D-9033-F88AE3D65486}"/>
            </c:ext>
          </c:extLst>
        </c:ser>
        <c:dLbls>
          <c:showLegendKey val="0"/>
          <c:showVal val="0"/>
          <c:showCatName val="0"/>
          <c:showSerName val="0"/>
          <c:showPercent val="0"/>
          <c:showBubbleSize val="0"/>
        </c:dLbls>
        <c:axId val="1124467864"/>
        <c:axId val="1124468256"/>
        <c:extLst>
          <c:ext xmlns:c15="http://schemas.microsoft.com/office/drawing/2012/chart" uri="{02D57815-91ED-43cb-92C2-25804820EDAC}">
            <c15:filteredScatterSeries>
              <c15:ser>
                <c:idx val="0"/>
                <c:order val="0"/>
                <c:tx>
                  <c:strRef>
                    <c:extLst>
                      <c:ext uri="{02D57815-91ED-43cb-92C2-25804820EDAC}">
                        <c15:formulaRef>
                          <c15:sqref>'D6913'!$A$102</c15:sqref>
                        </c15:formulaRef>
                      </c:ext>
                    </c:extLst>
                    <c:strCache>
                      <c:ptCount val="1"/>
                      <c:pt idx="0">
                        <c:v>16"</c:v>
                      </c:pt>
                    </c:strCache>
                  </c:strRef>
                </c:tx>
                <c:spPr>
                  <a:ln w="3175">
                    <a:prstDash val="sysDash"/>
                  </a:ln>
                </c:spPr>
                <c:marker>
                  <c:symbol val="none"/>
                </c:marker>
                <c:xVal>
                  <c:numRef>
                    <c:extLst>
                      <c:ext uri="{02D57815-91ED-43cb-92C2-25804820EDAC}">
                        <c15:formulaRef>
                          <c15:sqref>'D6913'!$B$102:$B$103</c15:sqref>
                        </c15:formulaRef>
                      </c:ext>
                    </c:extLst>
                    <c:numCache>
                      <c:formatCode>0.000</c:formatCode>
                      <c:ptCount val="2"/>
                      <c:pt idx="0">
                        <c:v>406.4</c:v>
                      </c:pt>
                      <c:pt idx="1">
                        <c:v>406.4</c:v>
                      </c:pt>
                    </c:numCache>
                  </c:numRef>
                </c:xVal>
                <c:yVal>
                  <c:numRef>
                    <c:extLst>
                      <c:ext uri="{02D57815-91ED-43cb-92C2-25804820EDAC}">
                        <c15:formulaRef>
                          <c15:sqref>'D6913'!$C$102:$C$103</c15:sqref>
                        </c15:formulaRef>
                      </c:ext>
                    </c:extLst>
                    <c:numCache>
                      <c:formatCode>General</c:formatCode>
                      <c:ptCount val="2"/>
                      <c:pt idx="0">
                        <c:v>100</c:v>
                      </c:pt>
                      <c:pt idx="1">
                        <c:v>0</c:v>
                      </c:pt>
                    </c:numCache>
                  </c:numRef>
                </c:yVal>
                <c:smooth val="1"/>
                <c:extLst>
                  <c:ext xmlns:c16="http://schemas.microsoft.com/office/drawing/2014/chart" uri="{C3380CC4-5D6E-409C-BE32-E72D297353CC}">
                    <c16:uniqueId val="{00000057-A872-4B0D-9033-F88AE3D65486}"/>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'D6913'!$A$104</c15:sqref>
                        </c15:formulaRef>
                      </c:ext>
                    </c:extLst>
                    <c:strCache>
                      <c:ptCount val="1"/>
                      <c:pt idx="0">
                        <c:v>14"</c:v>
                      </c:pt>
                    </c:strCache>
                  </c:strRef>
                </c:tx>
                <c:spPr>
                  <a:ln w="3175">
                    <a:solidFill>
                      <a:srgbClr val="002060"/>
                    </a:solidFill>
                    <a:prstDash val="sysDash"/>
                  </a:ln>
                </c:spPr>
                <c:marker>
                  <c:symbol val="none"/>
                </c:marker>
                <c:xVal>
                  <c:numRef>
                    <c:extLst xmlns:c15="http://schemas.microsoft.com/office/drawing/2012/chart">
                      <c:ext xmlns:c15="http://schemas.microsoft.com/office/drawing/2012/chart" uri="{02D57815-91ED-43cb-92C2-25804820EDAC}">
                        <c15:formulaRef>
                          <c15:sqref>'D6913'!$B$104:$B$105</c15:sqref>
                        </c15:formulaRef>
                      </c:ext>
                    </c:extLst>
                    <c:numCache>
                      <c:formatCode>0.000</c:formatCode>
                      <c:ptCount val="2"/>
                      <c:pt idx="0">
                        <c:v>355.6</c:v>
                      </c:pt>
                      <c:pt idx="1">
                        <c:v>355.6</c:v>
                      </c:pt>
                    </c:numCache>
                  </c:numRef>
                </c:xVal>
                <c:yVal>
                  <c:numRef>
                    <c:extLst xmlns:c15="http://schemas.microsoft.com/office/drawing/2012/chart">
                      <c:ext xmlns:c15="http://schemas.microsoft.com/office/drawing/2012/chart" uri="{02D57815-91ED-43cb-92C2-25804820EDAC}">
                        <c15:formulaRef>
                          <c15:sqref>'D6913'!$C$104:$C$105</c15:sqref>
                        </c15:formulaRef>
                      </c:ext>
                    </c:extLst>
                    <c:numCache>
                      <c:formatCode>General</c:formatCode>
                      <c:ptCount val="2"/>
                      <c:pt idx="0">
                        <c:v>100</c:v>
                      </c:pt>
                      <c:pt idx="1">
                        <c:v>0</c:v>
                      </c:pt>
                    </c:numCache>
                  </c:numRef>
                </c:yVal>
                <c:smooth val="1"/>
                <c:extLst xmlns:c15="http://schemas.microsoft.com/office/drawing/2012/chart">
                  <c:ext xmlns:c16="http://schemas.microsoft.com/office/drawing/2014/chart" uri="{C3380CC4-5D6E-409C-BE32-E72D297353CC}">
                    <c16:uniqueId val="{00000058-A872-4B0D-9033-F88AE3D65486}"/>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'D6913'!$A$106</c15:sqref>
                        </c15:formulaRef>
                      </c:ext>
                    </c:extLst>
                    <c:strCache>
                      <c:ptCount val="1"/>
                      <c:pt idx="0">
                        <c:v>12"</c:v>
                      </c:pt>
                    </c:strCache>
                  </c:strRef>
                </c:tx>
                <c:spPr>
                  <a:ln w="3175">
                    <a:solidFill>
                      <a:srgbClr val="002060"/>
                    </a:solidFill>
                    <a:prstDash val="sysDash"/>
                  </a:ln>
                </c:spPr>
                <c:marker>
                  <c:symbol val="none"/>
                </c:marker>
                <c:xVal>
                  <c:numRef>
                    <c:extLst xmlns:c15="http://schemas.microsoft.com/office/drawing/2012/chart">
                      <c:ext xmlns:c15="http://schemas.microsoft.com/office/drawing/2012/chart" uri="{02D57815-91ED-43cb-92C2-25804820EDAC}">
                        <c15:formulaRef>
                          <c15:sqref>'D6913'!$B$106:$B$107</c15:sqref>
                        </c15:formulaRef>
                      </c:ext>
                    </c:extLst>
                    <c:numCache>
                      <c:formatCode>0.000</c:formatCode>
                      <c:ptCount val="2"/>
                      <c:pt idx="0">
                        <c:v>304.8</c:v>
                      </c:pt>
                      <c:pt idx="1">
                        <c:v>304.8</c:v>
                      </c:pt>
                    </c:numCache>
                  </c:numRef>
                </c:xVal>
                <c:yVal>
                  <c:numRef>
                    <c:extLst xmlns:c15="http://schemas.microsoft.com/office/drawing/2012/chart">
                      <c:ext xmlns:c15="http://schemas.microsoft.com/office/drawing/2012/chart" uri="{02D57815-91ED-43cb-92C2-25804820EDAC}">
                        <c15:formulaRef>
                          <c15:sqref>'D6913'!$C$106:$C$107</c15:sqref>
                        </c15:formulaRef>
                      </c:ext>
                    </c:extLst>
                    <c:numCache>
                      <c:formatCode>General</c:formatCode>
                      <c:ptCount val="2"/>
                      <c:pt idx="0">
                        <c:v>100</c:v>
                      </c:pt>
                      <c:pt idx="1">
                        <c:v>0</c:v>
                      </c:pt>
                    </c:numCache>
                  </c:numRef>
                </c:yVal>
                <c:smooth val="1"/>
                <c:extLst xmlns:c15="http://schemas.microsoft.com/office/drawing/2012/chart">
                  <c:ext xmlns:c16="http://schemas.microsoft.com/office/drawing/2014/chart" uri="{C3380CC4-5D6E-409C-BE32-E72D297353CC}">
                    <c16:uniqueId val="{00000059-A872-4B0D-9033-F88AE3D65486}"/>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'D6913'!$A$108</c15:sqref>
                        </c15:formulaRef>
                      </c:ext>
                    </c:extLst>
                    <c:strCache>
                      <c:ptCount val="1"/>
                      <c:pt idx="0">
                        <c:v>10"</c:v>
                      </c:pt>
                    </c:strCache>
                  </c:strRef>
                </c:tx>
                <c:spPr>
                  <a:ln w="3175">
                    <a:solidFill>
                      <a:srgbClr val="002060"/>
                    </a:solidFill>
                    <a:prstDash val="sysDash"/>
                  </a:ln>
                </c:spPr>
                <c:marker>
                  <c:symbol val="none"/>
                </c:marker>
                <c:xVal>
                  <c:numRef>
                    <c:extLst xmlns:c15="http://schemas.microsoft.com/office/drawing/2012/chart">
                      <c:ext xmlns:c15="http://schemas.microsoft.com/office/drawing/2012/chart" uri="{02D57815-91ED-43cb-92C2-25804820EDAC}">
                        <c15:formulaRef>
                          <c15:sqref>'D6913'!$B$108:$B$109</c15:sqref>
                        </c15:formulaRef>
                      </c:ext>
                    </c:extLst>
                    <c:numCache>
                      <c:formatCode>0.000</c:formatCode>
                      <c:ptCount val="2"/>
                      <c:pt idx="0">
                        <c:v>254</c:v>
                      </c:pt>
                      <c:pt idx="1">
                        <c:v>254</c:v>
                      </c:pt>
                    </c:numCache>
                  </c:numRef>
                </c:xVal>
                <c:yVal>
                  <c:numRef>
                    <c:extLst xmlns:c15="http://schemas.microsoft.com/office/drawing/2012/chart">
                      <c:ext xmlns:c15="http://schemas.microsoft.com/office/drawing/2012/chart" uri="{02D57815-91ED-43cb-92C2-25804820EDAC}">
                        <c15:formulaRef>
                          <c15:sqref>'D6913'!$C$108:$C$109</c15:sqref>
                        </c15:formulaRef>
                      </c:ext>
                    </c:extLst>
                    <c:numCache>
                      <c:formatCode>General</c:formatCode>
                      <c:ptCount val="2"/>
                      <c:pt idx="0">
                        <c:v>100</c:v>
                      </c:pt>
                      <c:pt idx="1">
                        <c:v>0</c:v>
                      </c:pt>
                    </c:numCache>
                  </c:numRef>
                </c:yVal>
                <c:smooth val="1"/>
                <c:extLst xmlns:c15="http://schemas.microsoft.com/office/drawing/2012/chart">
                  <c:ext xmlns:c16="http://schemas.microsoft.com/office/drawing/2014/chart" uri="{C3380CC4-5D6E-409C-BE32-E72D297353CC}">
                    <c16:uniqueId val="{0000005A-A872-4B0D-9033-F88AE3D65486}"/>
                  </c:ext>
                </c:extLst>
              </c15:ser>
            </c15:filteredScatterSeries>
            <c15:filteredScatterSeries>
              <c15:ser>
                <c:idx val="27"/>
                <c:order val="27"/>
                <c:tx>
                  <c:strRef>
                    <c:extLst xmlns:c15="http://schemas.microsoft.com/office/drawing/2012/chart">
                      <c:ext xmlns:c15="http://schemas.microsoft.com/office/drawing/2012/chart" uri="{02D57815-91ED-43cb-92C2-25804820EDAC}">
                        <c15:formulaRef>
                          <c15:sqref>'D6913'!$A$156</c15:sqref>
                        </c15:formulaRef>
                      </c:ext>
                    </c:extLst>
                    <c:strCache>
                      <c:ptCount val="1"/>
                      <c:pt idx="0">
                        <c:v>N°140</c:v>
                      </c:pt>
                    </c:strCache>
                  </c:strRef>
                </c:tx>
                <c:spPr>
                  <a:ln w="3175">
                    <a:solidFill>
                      <a:srgbClr val="002060"/>
                    </a:solidFill>
                    <a:prstDash val="sysDash"/>
                  </a:ln>
                </c:spPr>
                <c:marker>
                  <c:symbol val="none"/>
                </c:marker>
                <c:xVal>
                  <c:numRef>
                    <c:extLst xmlns:c15="http://schemas.microsoft.com/office/drawing/2012/chart">
                      <c:ext xmlns:c15="http://schemas.microsoft.com/office/drawing/2012/chart" uri="{02D57815-91ED-43cb-92C2-25804820EDAC}">
                        <c15:formulaRef>
                          <c15:sqref>'D6913'!$B$156:$B$157</c15:sqref>
                        </c15:formulaRef>
                      </c:ext>
                    </c:extLst>
                    <c:numCache>
                      <c:formatCode>0.000</c:formatCode>
                      <c:ptCount val="2"/>
                      <c:pt idx="0">
                        <c:v>0.106</c:v>
                      </c:pt>
                      <c:pt idx="1">
                        <c:v>0.106</c:v>
                      </c:pt>
                    </c:numCache>
                  </c:numRef>
                </c:xVal>
                <c:yVal>
                  <c:numRef>
                    <c:extLst xmlns:c15="http://schemas.microsoft.com/office/drawing/2012/chart">
                      <c:ext xmlns:c15="http://schemas.microsoft.com/office/drawing/2012/chart" uri="{02D57815-91ED-43cb-92C2-25804820EDAC}">
                        <c15:formulaRef>
                          <c15:sqref>'D6913'!$C$156:$C$157</c15:sqref>
                        </c15:formulaRef>
                      </c:ext>
                    </c:extLst>
                    <c:numCache>
                      <c:formatCode>General</c:formatCode>
                      <c:ptCount val="2"/>
                      <c:pt idx="0">
                        <c:v>100</c:v>
                      </c:pt>
                      <c:pt idx="1">
                        <c:v>0</c:v>
                      </c:pt>
                    </c:numCache>
                  </c:numRef>
                </c:yVal>
                <c:smooth val="1"/>
                <c:extLst xmlns:c15="http://schemas.microsoft.com/office/drawing/2012/chart">
                  <c:ext xmlns:c16="http://schemas.microsoft.com/office/drawing/2014/chart" uri="{C3380CC4-5D6E-409C-BE32-E72D297353CC}">
                    <c16:uniqueId val="{00000072-A872-4B0D-9033-F88AE3D65486}"/>
                  </c:ext>
                </c:extLst>
              </c15:ser>
            </c15:filteredScatterSeries>
            <c15:filteredScatterSeries>
              <c15:ser>
                <c:idx val="30"/>
                <c:order val="30"/>
                <c:tx>
                  <c:v>HUSO MIN</c:v>
                </c:tx>
                <c:spPr>
                  <a:ln>
                    <a:solidFill>
                      <a:schemeClr val="accent1">
                        <a:lumMod val="50000"/>
                      </a:schemeClr>
                    </a:solidFill>
                    <a:prstDash val="solid"/>
                  </a:ln>
                </c:spPr>
                <c:marker>
                  <c:symbol val="none"/>
                </c:marker>
                <c:xVal>
                  <c:numRef>
                    <c:extLst xmlns:c15="http://schemas.microsoft.com/office/drawing/2012/chart">
                      <c:ext xmlns:c15="http://schemas.microsoft.com/office/drawing/2012/chart" uri="{02D57815-91ED-43cb-92C2-25804820EDAC}">
                        <c15:formulaRef>
                          <c15:sqref>('D6913'!$B$30,'D6913'!$B$46)</c15:sqref>
                        </c15:formulaRef>
                      </c:ext>
                    </c:extLst>
                    <c:numCache>
                      <c:formatCode>0.000</c:formatCode>
                      <c:ptCount val="2"/>
                      <c:pt idx="0">
                        <c:v>19.05</c:v>
                      </c:pt>
                      <c:pt idx="1">
                        <c:v>7.4999999999999997E-2</c:v>
                      </c:pt>
                    </c:numCache>
                  </c:numRef>
                </c:xVal>
                <c:yVal>
                  <c:numRef>
                    <c:extLst xmlns:c15="http://schemas.microsoft.com/office/drawing/2012/chart">
                      <c:ext xmlns:c15="http://schemas.microsoft.com/office/drawing/2012/chart" uri="{02D57815-91ED-43cb-92C2-25804820EDAC}">
                        <c15:formulaRef>
                          <c15:sqref>('D6913'!$G$30,'D6913'!$G$46)</c15:sqref>
                        </c15:formulaRef>
                      </c:ext>
                    </c:extLst>
                    <c:numCache>
                      <c:formatCode>General</c:formatCode>
                      <c:ptCount val="2"/>
                      <c:pt idx="0">
                        <c:v>0</c:v>
                      </c:pt>
                      <c:pt idx="1">
                        <c:v>0</c:v>
                      </c:pt>
                    </c:numCache>
                  </c:numRef>
                </c:yVal>
                <c:smooth val="1"/>
                <c:extLst xmlns:c15="http://schemas.microsoft.com/office/drawing/2012/chart">
                  <c:ext xmlns:c16="http://schemas.microsoft.com/office/drawing/2014/chart" uri="{C3380CC4-5D6E-409C-BE32-E72D297353CC}">
                    <c16:uniqueId val="{00000075-A872-4B0D-9033-F88AE3D65486}"/>
                  </c:ext>
                </c:extLst>
              </c15:ser>
            </c15:filteredScatterSeries>
            <c15:filteredScatterSeries>
              <c15:ser>
                <c:idx val="31"/>
                <c:order val="31"/>
                <c:tx>
                  <c:v>HUSO MAX</c:v>
                </c:tx>
                <c:spPr>
                  <a:ln>
                    <a:solidFill>
                      <a:schemeClr val="accent1">
                        <a:lumMod val="50000"/>
                      </a:schemeClr>
                    </a:solidFill>
                    <a:prstDash val="solid"/>
                  </a:ln>
                </c:spPr>
                <c:marker>
                  <c:symbol val="none"/>
                </c:marker>
                <c:xVal>
                  <c:numRef>
                    <c:extLst xmlns:c15="http://schemas.microsoft.com/office/drawing/2012/chart">
                      <c:ext xmlns:c15="http://schemas.microsoft.com/office/drawing/2012/chart" uri="{02D57815-91ED-43cb-92C2-25804820EDAC}">
                        <c15:formulaRef>
                          <c15:sqref>('D6913'!$B$30,'D6913'!$B$46)</c15:sqref>
                        </c15:formulaRef>
                      </c:ext>
                    </c:extLst>
                    <c:numCache>
                      <c:formatCode>0.000</c:formatCode>
                      <c:ptCount val="2"/>
                      <c:pt idx="0">
                        <c:v>19.05</c:v>
                      </c:pt>
                      <c:pt idx="1">
                        <c:v>7.4999999999999997E-2</c:v>
                      </c:pt>
                    </c:numCache>
                  </c:numRef>
                </c:xVal>
                <c:yVal>
                  <c:numRef>
                    <c:extLst xmlns:c15="http://schemas.microsoft.com/office/drawing/2012/chart">
                      <c:ext xmlns:c15="http://schemas.microsoft.com/office/drawing/2012/chart" uri="{02D57815-91ED-43cb-92C2-25804820EDAC}">
                        <c15:formulaRef>
                          <c15:sqref>('D6913'!$H$30,'D6913'!$H$46)</c15:sqref>
                        </c15:formulaRef>
                      </c:ext>
                    </c:extLst>
                    <c:numCache>
                      <c:formatCode>0</c:formatCode>
                      <c:ptCount val="2"/>
                      <c:pt idx="0">
                        <c:v>0</c:v>
                      </c:pt>
                      <c:pt idx="1">
                        <c:v>0</c:v>
                      </c:pt>
                    </c:numCache>
                  </c:numRef>
                </c:yVal>
                <c:smooth val="1"/>
                <c:extLst xmlns:c15="http://schemas.microsoft.com/office/drawing/2012/chart">
                  <c:ext xmlns:c16="http://schemas.microsoft.com/office/drawing/2014/chart" uri="{C3380CC4-5D6E-409C-BE32-E72D297353CC}">
                    <c16:uniqueId val="{00000076-A872-4B0D-9033-F88AE3D65486}"/>
                  </c:ext>
                </c:extLst>
              </c15:ser>
            </c15:filteredScatterSeries>
          </c:ext>
        </c:extLst>
      </c:scatterChart>
      <c:valAx>
        <c:axId val="1124467864"/>
        <c:scaling>
          <c:logBase val="10"/>
          <c:orientation val="maxMin"/>
          <c:max val="1000"/>
          <c:min val="1.0000000000000002E-2"/>
        </c:scaling>
        <c:delete val="0"/>
        <c:axPos val="b"/>
        <c:minorGridlines>
          <c:spPr>
            <a:ln w="3175">
              <a:solidFill>
                <a:srgbClr val="000000">
                  <a:alpha val="95000"/>
                </a:srgbClr>
              </a:solidFill>
              <a:prstDash val="sysDash"/>
            </a:ln>
          </c:spPr>
        </c:minorGridlines>
        <c:title>
          <c:tx>
            <c:rich>
              <a:bodyPr/>
              <a:lstStyle/>
              <a:p>
                <a:pPr>
                  <a:defRPr/>
                </a:pPr>
                <a:r>
                  <a:rPr lang="en-US"/>
                  <a:t>Abertura de Tamiz (mm)</a:t>
                </a:r>
              </a:p>
            </c:rich>
          </c:tx>
          <c:layout>
            <c:manualLayout>
              <c:xMode val="edge"/>
              <c:yMode val="edge"/>
              <c:x val="0.42905697965456741"/>
              <c:y val="0.95209845780593938"/>
            </c:manualLayout>
          </c:layout>
          <c:overlay val="0"/>
          <c:spPr>
            <a:noFill/>
            <a:ln w="25400">
              <a:noFill/>
            </a:ln>
          </c:spPr>
        </c:title>
        <c:numFmt formatCode="General" sourceLinked="0"/>
        <c:majorTickMark val="out"/>
        <c:minorTickMark val="out"/>
        <c:tickLblPos val="nextTo"/>
        <c:spPr>
          <a:noFill/>
          <a:ln w="3175">
            <a:noFill/>
            <a:prstDash val="solid"/>
          </a:ln>
        </c:spPr>
        <c:txPr>
          <a:bodyPr rot="0" vert="horz"/>
          <a:lstStyle/>
          <a:p>
            <a:pPr>
              <a:defRPr/>
            </a:pPr>
            <a:endParaRPr lang="es-PE"/>
          </a:p>
        </c:txPr>
        <c:crossAx val="1124468256"/>
        <c:crosses val="autoZero"/>
        <c:crossBetween val="midCat"/>
      </c:valAx>
      <c:valAx>
        <c:axId val="1124468256"/>
        <c:scaling>
          <c:orientation val="minMax"/>
          <c:max val="100"/>
          <c:min val="0"/>
        </c:scaling>
        <c:delete val="0"/>
        <c:axPos val="l"/>
        <c:majorGridlines>
          <c:spPr>
            <a:ln w="3175">
              <a:solidFill>
                <a:srgbClr val="000000">
                  <a:alpha val="80000"/>
                </a:srgbClr>
              </a:solidFill>
              <a:prstDash val="solid"/>
            </a:ln>
          </c:spPr>
        </c:majorGridlines>
        <c:title>
          <c:tx>
            <c:rich>
              <a:bodyPr/>
              <a:lstStyle/>
              <a:p>
                <a:pPr>
                  <a:defRPr/>
                </a:pPr>
                <a:r>
                  <a:rPr lang="en-US"/>
                  <a:t>Porcentje Pasante (%)</a:t>
                </a:r>
              </a:p>
            </c:rich>
          </c:tx>
          <c:layout>
            <c:manualLayout>
              <c:xMode val="edge"/>
              <c:yMode val="edge"/>
              <c:x val="7.1498160102359222E-3"/>
              <c:y val="0.40641033822391309"/>
            </c:manualLayout>
          </c:layout>
          <c:overlay val="0"/>
          <c:spPr>
            <a:noFill/>
            <a:ln w="25400">
              <a:noFill/>
            </a:ln>
          </c:spPr>
        </c:title>
        <c:numFmt formatCode="0" sourceLinked="0"/>
        <c:majorTickMark val="out"/>
        <c:minorTickMark val="none"/>
        <c:tickLblPos val="nextTo"/>
        <c:spPr>
          <a:noFill/>
          <a:ln w="3175">
            <a:noFill/>
            <a:prstDash val="solid"/>
          </a:ln>
        </c:spPr>
        <c:txPr>
          <a:bodyPr rot="0" vert="horz"/>
          <a:lstStyle/>
          <a:p>
            <a:pPr>
              <a:defRPr/>
            </a:pPr>
            <a:endParaRPr lang="es-PE"/>
          </a:p>
        </c:txPr>
        <c:crossAx val="1124467864"/>
        <c:crosses val="max"/>
        <c:crossBetween val="midCat"/>
        <c:majorUnit val="10"/>
        <c:minorUnit val="5"/>
      </c:valAx>
      <c:spPr>
        <a:noFill/>
        <a:ln w="3175">
          <a:solidFill>
            <a:schemeClr val="tx1">
              <a:lumMod val="85000"/>
              <a:lumOff val="15000"/>
            </a:schemeClr>
          </a:solidFill>
          <a:prstDash val="solid"/>
        </a:ln>
      </c:spPr>
    </c:plotArea>
    <c:legend>
      <c:legendPos val="r"/>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7"/>
        <c:delete val="1"/>
      </c:legendEntry>
      <c:layout>
        <c:manualLayout>
          <c:xMode val="edge"/>
          <c:yMode val="edge"/>
          <c:x val="0.79005192894510168"/>
          <c:y val="0.82175972992958091"/>
          <c:w val="0.16604395531971308"/>
          <c:h val="9.9677756886361629E-2"/>
        </c:manualLayout>
      </c:layout>
      <c:overlay val="0"/>
      <c:spPr>
        <a:solidFill>
          <a:schemeClr val="bg1"/>
        </a:solidFill>
      </c:spPr>
      <c:txPr>
        <a:bodyPr/>
        <a:lstStyle/>
        <a:p>
          <a:pPr>
            <a:defRPr sz="700"/>
          </a:pPr>
          <a:endParaRPr lang="es-PE"/>
        </a:p>
      </c:txPr>
    </c:legend>
    <c:plotVisOnly val="1"/>
    <c:dispBlanksAs val="span"/>
    <c:showDLblsOverMax val="0"/>
  </c:chart>
  <c:spPr>
    <a:solidFill>
      <a:srgbClr val="FFFFFF"/>
    </a:solidFill>
    <a:ln w="3175">
      <a:solidFill>
        <a:schemeClr val="tx1">
          <a:lumMod val="85000"/>
          <a:lumOff val="15000"/>
        </a:schemeClr>
      </a:solidFill>
      <a:prstDash val="solid"/>
    </a:ln>
  </c:spPr>
  <c:txPr>
    <a:bodyPr/>
    <a:lstStyle/>
    <a:p>
      <a:pPr>
        <a:defRPr sz="900" b="0" i="0" u="none" strike="noStrike" baseline="0">
          <a:solidFill>
            <a:srgbClr val="000000"/>
          </a:solidFill>
          <a:latin typeface="Arial"/>
          <a:ea typeface="Arial"/>
          <a:cs typeface="Arial"/>
        </a:defRPr>
      </a:pPr>
      <a:endParaRPr lang="es-PE"/>
    </a:p>
  </c:txPr>
  <c:printSettings>
    <c:headerFooter/>
    <c:pageMargins b="0.75" l="0.7" r="0.7" t="0.75" header="0.3" footer="0.3"/>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MX" sz="800"/>
              <a:t>Clasificación fracción limoso-arcillosa (AAHSTO)</a:t>
            </a:r>
          </a:p>
        </c:rich>
      </c:tx>
      <c:layout>
        <c:manualLayout>
          <c:xMode val="edge"/>
          <c:yMode val="edge"/>
          <c:x val="0.13404255319148936"/>
          <c:y val="3.5398230088495575E-2"/>
        </c:manualLayout>
      </c:layout>
      <c:overlay val="0"/>
      <c:spPr>
        <a:noFill/>
        <a:ln w="25400">
          <a:noFill/>
        </a:ln>
      </c:spPr>
    </c:title>
    <c:autoTitleDeleted val="0"/>
    <c:plotArea>
      <c:layout>
        <c:manualLayout>
          <c:layoutTarget val="inner"/>
          <c:xMode val="edge"/>
          <c:yMode val="edge"/>
          <c:x val="0.13829787234042556"/>
          <c:y val="0.14016924608561862"/>
          <c:w val="0.80638297872340414"/>
          <c:h val="0.67928138293058193"/>
        </c:manualLayout>
      </c:layout>
      <c:scatterChart>
        <c:scatterStyle val="smoothMarker"/>
        <c:varyColors val="0"/>
        <c:ser>
          <c:idx val="0"/>
          <c:order val="0"/>
          <c:spPr>
            <a:ln w="25400">
              <a:solidFill>
                <a:srgbClr val="333399"/>
              </a:solidFill>
              <a:prstDash val="solid"/>
            </a:ln>
          </c:spPr>
          <c:marker>
            <c:symbol val="none"/>
          </c:marker>
          <c:xVal>
            <c:numRef>
              <c:f>'D6913'!$U$6:$U$7</c:f>
              <c:numCache>
                <c:formatCode>General</c:formatCode>
                <c:ptCount val="2"/>
                <c:pt idx="0">
                  <c:v>40</c:v>
                </c:pt>
                <c:pt idx="1">
                  <c:v>40</c:v>
                </c:pt>
              </c:numCache>
            </c:numRef>
          </c:xVal>
          <c:yVal>
            <c:numRef>
              <c:f>'D6913'!$V$6:$V$7</c:f>
              <c:numCache>
                <c:formatCode>General</c:formatCode>
                <c:ptCount val="2"/>
                <c:pt idx="0">
                  <c:v>0</c:v>
                </c:pt>
                <c:pt idx="1">
                  <c:v>70</c:v>
                </c:pt>
              </c:numCache>
            </c:numRef>
          </c:yVal>
          <c:smooth val="1"/>
          <c:extLst>
            <c:ext xmlns:c16="http://schemas.microsoft.com/office/drawing/2014/chart" uri="{C3380CC4-5D6E-409C-BE32-E72D297353CC}">
              <c16:uniqueId val="{00000000-BF71-4063-B947-92D59B23F917}"/>
            </c:ext>
          </c:extLst>
        </c:ser>
        <c:ser>
          <c:idx val="1"/>
          <c:order val="1"/>
          <c:spPr>
            <a:ln w="25400">
              <a:solidFill>
                <a:srgbClr val="333399"/>
              </a:solidFill>
              <a:prstDash val="solid"/>
            </a:ln>
          </c:spPr>
          <c:marker>
            <c:symbol val="none"/>
          </c:marker>
          <c:xVal>
            <c:numRef>
              <c:f>'D6913'!$U$9:$U$10</c:f>
              <c:numCache>
                <c:formatCode>General</c:formatCode>
                <c:ptCount val="2"/>
                <c:pt idx="0">
                  <c:v>0</c:v>
                </c:pt>
                <c:pt idx="1">
                  <c:v>100</c:v>
                </c:pt>
              </c:numCache>
            </c:numRef>
          </c:xVal>
          <c:yVal>
            <c:numRef>
              <c:f>'D6913'!$V$9:$V$10</c:f>
              <c:numCache>
                <c:formatCode>General</c:formatCode>
                <c:ptCount val="2"/>
                <c:pt idx="0">
                  <c:v>10</c:v>
                </c:pt>
                <c:pt idx="1">
                  <c:v>10</c:v>
                </c:pt>
              </c:numCache>
            </c:numRef>
          </c:yVal>
          <c:smooth val="1"/>
          <c:extLst>
            <c:ext xmlns:c16="http://schemas.microsoft.com/office/drawing/2014/chart" uri="{C3380CC4-5D6E-409C-BE32-E72D297353CC}">
              <c16:uniqueId val="{00000001-BF71-4063-B947-92D59B23F917}"/>
            </c:ext>
          </c:extLst>
        </c:ser>
        <c:ser>
          <c:idx val="2"/>
          <c:order val="2"/>
          <c:spPr>
            <a:ln w="25400">
              <a:solidFill>
                <a:srgbClr val="333399"/>
              </a:solidFill>
              <a:prstDash val="solid"/>
            </a:ln>
          </c:spPr>
          <c:marker>
            <c:symbol val="none"/>
          </c:marker>
          <c:xVal>
            <c:numRef>
              <c:f>'D6913'!$W$6:$W$7</c:f>
              <c:numCache>
                <c:formatCode>General</c:formatCode>
                <c:ptCount val="2"/>
                <c:pt idx="0">
                  <c:v>40</c:v>
                </c:pt>
                <c:pt idx="1">
                  <c:v>100</c:v>
                </c:pt>
              </c:numCache>
            </c:numRef>
          </c:xVal>
          <c:yVal>
            <c:numRef>
              <c:f>'D6913'!$X$6:$X$7</c:f>
              <c:numCache>
                <c:formatCode>General</c:formatCode>
                <c:ptCount val="2"/>
                <c:pt idx="0">
                  <c:v>10</c:v>
                </c:pt>
                <c:pt idx="1">
                  <c:v>70</c:v>
                </c:pt>
              </c:numCache>
            </c:numRef>
          </c:yVal>
          <c:smooth val="1"/>
          <c:extLst>
            <c:ext xmlns:c16="http://schemas.microsoft.com/office/drawing/2014/chart" uri="{C3380CC4-5D6E-409C-BE32-E72D297353CC}">
              <c16:uniqueId val="{00000002-BF71-4063-B947-92D59B23F917}"/>
            </c:ext>
          </c:extLst>
        </c:ser>
        <c:ser>
          <c:idx val="3"/>
          <c:order val="3"/>
          <c:spPr>
            <a:ln w="12700">
              <a:solidFill>
                <a:srgbClr val="00FFFF"/>
              </a:solidFill>
              <a:prstDash val="solid"/>
            </a:ln>
          </c:spPr>
          <c:marker>
            <c:symbol val="square"/>
            <c:size val="5"/>
            <c:spPr>
              <a:solidFill>
                <a:srgbClr val="993300"/>
              </a:solidFill>
              <a:ln>
                <a:solidFill>
                  <a:srgbClr val="993300"/>
                </a:solidFill>
                <a:prstDash val="solid"/>
              </a:ln>
            </c:spPr>
          </c:marker>
          <c:xVal>
            <c:numRef>
              <c:f>'D6913'!$L$34</c:f>
              <c:numCache>
                <c:formatCode>0\ "(%)"</c:formatCode>
                <c:ptCount val="1"/>
                <c:pt idx="0">
                  <c:v>31</c:v>
                </c:pt>
              </c:numCache>
            </c:numRef>
          </c:xVal>
          <c:yVal>
            <c:numRef>
              <c:f>'D6913'!$L$36</c:f>
              <c:numCache>
                <c:formatCode>0\ "(%)"</c:formatCode>
                <c:ptCount val="1"/>
                <c:pt idx="0">
                  <c:v>11.615210490445087</c:v>
                </c:pt>
              </c:numCache>
            </c:numRef>
          </c:yVal>
          <c:smooth val="1"/>
          <c:extLst>
            <c:ext xmlns:c16="http://schemas.microsoft.com/office/drawing/2014/chart" uri="{C3380CC4-5D6E-409C-BE32-E72D297353CC}">
              <c16:uniqueId val="{00000003-BF71-4063-B947-92D59B23F917}"/>
            </c:ext>
          </c:extLst>
        </c:ser>
        <c:dLbls>
          <c:showLegendKey val="0"/>
          <c:showVal val="0"/>
          <c:showCatName val="0"/>
          <c:showSerName val="0"/>
          <c:showPercent val="0"/>
          <c:showBubbleSize val="0"/>
        </c:dLbls>
        <c:axId val="916118464"/>
        <c:axId val="916110232"/>
      </c:scatterChart>
      <c:valAx>
        <c:axId val="916118464"/>
        <c:scaling>
          <c:orientation val="minMax"/>
          <c:max val="100"/>
          <c:min val="0"/>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MX" sz="800"/>
                  <a:t>LL (%)</a:t>
                </a:r>
              </a:p>
            </c:rich>
          </c:tx>
          <c:layout>
            <c:manualLayout>
              <c:xMode val="edge"/>
              <c:yMode val="edge"/>
              <c:x val="0.49858156028368794"/>
              <c:y val="0.9508382691101665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916110232"/>
        <c:crosses val="autoZero"/>
        <c:crossBetween val="midCat"/>
        <c:majorUnit val="10"/>
      </c:valAx>
      <c:valAx>
        <c:axId val="916110232"/>
        <c:scaling>
          <c:orientation val="minMax"/>
          <c:max val="70"/>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MX" sz="800"/>
                  <a:t>IP (%)</a:t>
                </a:r>
              </a:p>
            </c:rich>
          </c:tx>
          <c:layout>
            <c:manualLayout>
              <c:xMode val="edge"/>
              <c:yMode val="edge"/>
              <c:x val="0"/>
              <c:y val="0.4395292623820252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916118464"/>
        <c:crosses val="autoZero"/>
        <c:crossBetween val="midCat"/>
        <c:majorUnit val="10"/>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s-PE"/>
    </a:p>
  </c:txPr>
  <c:printSettings>
    <c:headerFooter alignWithMargins="0"/>
    <c:pageMargins b="1" l="0.75000000000000011" r="0.75000000000000011" t="1" header="0" footer="0"/>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s-PE" sz="900"/>
              <a:t>Ábaco de Casagrande</a:t>
            </a:r>
          </a:p>
        </c:rich>
      </c:tx>
      <c:layout>
        <c:manualLayout>
          <c:xMode val="edge"/>
          <c:yMode val="edge"/>
          <c:x val="0.33119658119658119"/>
          <c:y val="3.4582132564841501E-2"/>
        </c:manualLayout>
      </c:layout>
      <c:overlay val="0"/>
      <c:spPr>
        <a:noFill/>
        <a:ln w="25400">
          <a:noFill/>
        </a:ln>
      </c:spPr>
    </c:title>
    <c:autoTitleDeleted val="0"/>
    <c:plotArea>
      <c:layout>
        <c:manualLayout>
          <c:layoutTarget val="inner"/>
          <c:xMode val="edge"/>
          <c:yMode val="edge"/>
          <c:x val="0.10534317925285247"/>
          <c:y val="0.12528706793006808"/>
          <c:w val="0.84123998748861051"/>
          <c:h val="0.72479523110458643"/>
        </c:manualLayout>
      </c:layout>
      <c:scatterChart>
        <c:scatterStyle val="smoothMarker"/>
        <c:varyColors val="0"/>
        <c:ser>
          <c:idx val="0"/>
          <c:order val="0"/>
          <c:spPr>
            <a:ln w="25400">
              <a:solidFill>
                <a:srgbClr val="333399"/>
              </a:solidFill>
              <a:prstDash val="solid"/>
            </a:ln>
          </c:spPr>
          <c:marker>
            <c:symbol val="none"/>
          </c:marker>
          <c:xVal>
            <c:numRef>
              <c:f>'D6913'!$Q$6:$Q$7</c:f>
              <c:numCache>
                <c:formatCode>General</c:formatCode>
                <c:ptCount val="2"/>
                <c:pt idx="0">
                  <c:v>25.48</c:v>
                </c:pt>
                <c:pt idx="1">
                  <c:v>100</c:v>
                </c:pt>
              </c:numCache>
            </c:numRef>
          </c:xVal>
          <c:yVal>
            <c:numRef>
              <c:f>'D6913'!$R$6:$R$7</c:f>
              <c:numCache>
                <c:formatCode>0.00</c:formatCode>
                <c:ptCount val="2"/>
                <c:pt idx="0">
                  <c:v>4.0004</c:v>
                </c:pt>
                <c:pt idx="1">
                  <c:v>58.4</c:v>
                </c:pt>
              </c:numCache>
            </c:numRef>
          </c:yVal>
          <c:smooth val="1"/>
          <c:extLst>
            <c:ext xmlns:c16="http://schemas.microsoft.com/office/drawing/2014/chart" uri="{C3380CC4-5D6E-409C-BE32-E72D297353CC}">
              <c16:uniqueId val="{00000000-CC7B-4C5B-826F-11AD3146B411}"/>
            </c:ext>
          </c:extLst>
        </c:ser>
        <c:ser>
          <c:idx val="1"/>
          <c:order val="1"/>
          <c:spPr>
            <a:ln w="12700">
              <a:solidFill>
                <a:srgbClr val="C0C0C0"/>
              </a:solidFill>
              <a:prstDash val="solid"/>
            </a:ln>
          </c:spPr>
          <c:marker>
            <c:symbol val="none"/>
          </c:marker>
          <c:xVal>
            <c:numRef>
              <c:f>'D6913'!$O$10:$O$11</c:f>
              <c:numCache>
                <c:formatCode>General</c:formatCode>
                <c:ptCount val="2"/>
                <c:pt idx="0">
                  <c:v>30</c:v>
                </c:pt>
                <c:pt idx="1">
                  <c:v>30</c:v>
                </c:pt>
              </c:numCache>
            </c:numRef>
          </c:xVal>
          <c:yVal>
            <c:numRef>
              <c:f>'D6913'!$Q$10:$Q$11</c:f>
              <c:numCache>
                <c:formatCode>General</c:formatCode>
                <c:ptCount val="2"/>
                <c:pt idx="0">
                  <c:v>8</c:v>
                </c:pt>
                <c:pt idx="1">
                  <c:v>20</c:v>
                </c:pt>
              </c:numCache>
            </c:numRef>
          </c:yVal>
          <c:smooth val="1"/>
          <c:extLst>
            <c:ext xmlns:c16="http://schemas.microsoft.com/office/drawing/2014/chart" uri="{C3380CC4-5D6E-409C-BE32-E72D297353CC}">
              <c16:uniqueId val="{00000001-CC7B-4C5B-826F-11AD3146B411}"/>
            </c:ext>
          </c:extLst>
        </c:ser>
        <c:ser>
          <c:idx val="2"/>
          <c:order val="2"/>
          <c:spPr>
            <a:ln w="25400">
              <a:solidFill>
                <a:srgbClr val="333399"/>
              </a:solidFill>
              <a:prstDash val="solid"/>
            </a:ln>
          </c:spPr>
          <c:marker>
            <c:symbol val="none"/>
          </c:marker>
          <c:xVal>
            <c:numRef>
              <c:f>'D6913'!$O$8:$O$9</c:f>
              <c:numCache>
                <c:formatCode>General</c:formatCode>
                <c:ptCount val="2"/>
                <c:pt idx="0">
                  <c:v>50</c:v>
                </c:pt>
                <c:pt idx="1">
                  <c:v>50</c:v>
                </c:pt>
              </c:numCache>
            </c:numRef>
          </c:xVal>
          <c:yVal>
            <c:numRef>
              <c:f>'D6913'!$Q$8:$Q$9</c:f>
              <c:numCache>
                <c:formatCode>General</c:formatCode>
                <c:ptCount val="2"/>
                <c:pt idx="0">
                  <c:v>0</c:v>
                </c:pt>
                <c:pt idx="1">
                  <c:v>60</c:v>
                </c:pt>
              </c:numCache>
            </c:numRef>
          </c:yVal>
          <c:smooth val="1"/>
          <c:extLst>
            <c:ext xmlns:c16="http://schemas.microsoft.com/office/drawing/2014/chart" uri="{C3380CC4-5D6E-409C-BE32-E72D297353CC}">
              <c16:uniqueId val="{00000002-CC7B-4C5B-826F-11AD3146B411}"/>
            </c:ext>
          </c:extLst>
        </c:ser>
        <c:ser>
          <c:idx val="3"/>
          <c:order val="3"/>
          <c:spPr>
            <a:ln w="12700">
              <a:solidFill>
                <a:srgbClr val="C0C0C0"/>
              </a:solidFill>
              <a:prstDash val="solid"/>
            </a:ln>
          </c:spPr>
          <c:marker>
            <c:symbol val="none"/>
          </c:marker>
          <c:xVal>
            <c:numRef>
              <c:f>'D6913'!$Q$5:$Q$7</c:f>
              <c:numCache>
                <c:formatCode>General</c:formatCode>
                <c:ptCount val="3"/>
                <c:pt idx="0">
                  <c:v>0</c:v>
                </c:pt>
                <c:pt idx="1">
                  <c:v>25.48</c:v>
                </c:pt>
                <c:pt idx="2">
                  <c:v>100</c:v>
                </c:pt>
              </c:numCache>
            </c:numRef>
          </c:xVal>
          <c:yVal>
            <c:numRef>
              <c:f>'D6913'!$O$5:$O$7</c:f>
              <c:numCache>
                <c:formatCode>General</c:formatCode>
                <c:ptCount val="3"/>
                <c:pt idx="0">
                  <c:v>-7.2</c:v>
                </c:pt>
                <c:pt idx="1">
                  <c:v>15.732000000000001</c:v>
                </c:pt>
                <c:pt idx="2">
                  <c:v>82.8</c:v>
                </c:pt>
              </c:numCache>
            </c:numRef>
          </c:yVal>
          <c:smooth val="1"/>
          <c:extLst>
            <c:ext xmlns:c16="http://schemas.microsoft.com/office/drawing/2014/chart" uri="{C3380CC4-5D6E-409C-BE32-E72D297353CC}">
              <c16:uniqueId val="{00000003-CC7B-4C5B-826F-11AD3146B411}"/>
            </c:ext>
          </c:extLst>
        </c:ser>
        <c:ser>
          <c:idx val="4"/>
          <c:order val="4"/>
          <c:spPr>
            <a:ln w="25400">
              <a:solidFill>
                <a:srgbClr val="333399"/>
              </a:solidFill>
              <a:prstDash val="sysDash"/>
            </a:ln>
          </c:spPr>
          <c:marker>
            <c:symbol val="none"/>
          </c:marker>
          <c:xVal>
            <c:numRef>
              <c:f>'D6913'!$R$10:$R$11</c:f>
              <c:numCache>
                <c:formatCode>General</c:formatCode>
                <c:ptCount val="2"/>
                <c:pt idx="0">
                  <c:v>20</c:v>
                </c:pt>
                <c:pt idx="1">
                  <c:v>25.48</c:v>
                </c:pt>
              </c:numCache>
            </c:numRef>
          </c:xVal>
          <c:yVal>
            <c:numRef>
              <c:f>'D6913'!$S$10:$S$11</c:f>
              <c:numCache>
                <c:formatCode>0</c:formatCode>
                <c:ptCount val="2"/>
                <c:pt idx="0">
                  <c:v>0</c:v>
                </c:pt>
                <c:pt idx="1">
                  <c:v>4</c:v>
                </c:pt>
              </c:numCache>
            </c:numRef>
          </c:yVal>
          <c:smooth val="1"/>
          <c:extLst>
            <c:ext xmlns:c16="http://schemas.microsoft.com/office/drawing/2014/chart" uri="{C3380CC4-5D6E-409C-BE32-E72D297353CC}">
              <c16:uniqueId val="{00000004-CC7B-4C5B-826F-11AD3146B411}"/>
            </c:ext>
          </c:extLst>
        </c:ser>
        <c:ser>
          <c:idx val="5"/>
          <c:order val="5"/>
          <c:spPr>
            <a:ln w="25400">
              <a:solidFill>
                <a:srgbClr val="333399"/>
              </a:solidFill>
              <a:prstDash val="solid"/>
            </a:ln>
          </c:spPr>
          <c:marker>
            <c:symbol val="none"/>
          </c:marker>
          <c:xVal>
            <c:numRef>
              <c:f>'D6913'!$S$8:$S$9</c:f>
              <c:numCache>
                <c:formatCode>General</c:formatCode>
                <c:ptCount val="2"/>
                <c:pt idx="0">
                  <c:v>10</c:v>
                </c:pt>
                <c:pt idx="1">
                  <c:v>25</c:v>
                </c:pt>
              </c:numCache>
            </c:numRef>
          </c:xVal>
          <c:yVal>
            <c:numRef>
              <c:f>'D6913'!$R$8:$R$9</c:f>
              <c:numCache>
                <c:formatCode>General</c:formatCode>
                <c:ptCount val="2"/>
                <c:pt idx="0">
                  <c:v>4</c:v>
                </c:pt>
                <c:pt idx="1">
                  <c:v>4</c:v>
                </c:pt>
              </c:numCache>
            </c:numRef>
          </c:yVal>
          <c:smooth val="1"/>
          <c:extLst>
            <c:ext xmlns:c16="http://schemas.microsoft.com/office/drawing/2014/chart" uri="{C3380CC4-5D6E-409C-BE32-E72D297353CC}">
              <c16:uniqueId val="{00000005-CC7B-4C5B-826F-11AD3146B411}"/>
            </c:ext>
          </c:extLst>
        </c:ser>
        <c:ser>
          <c:idx val="6"/>
          <c:order val="6"/>
          <c:spPr>
            <a:ln w="25400">
              <a:solidFill>
                <a:srgbClr val="333399"/>
              </a:solidFill>
              <a:prstDash val="solid"/>
            </a:ln>
          </c:spPr>
          <c:marker>
            <c:symbol val="none"/>
          </c:marker>
          <c:xVal>
            <c:numRef>
              <c:f>'D6913'!$Q$12:$Q$13</c:f>
              <c:numCache>
                <c:formatCode>General</c:formatCode>
                <c:ptCount val="2"/>
                <c:pt idx="0">
                  <c:v>10</c:v>
                </c:pt>
                <c:pt idx="1">
                  <c:v>30</c:v>
                </c:pt>
              </c:numCache>
            </c:numRef>
          </c:xVal>
          <c:yVal>
            <c:numRef>
              <c:f>'D6913'!$O$12:$O$13</c:f>
              <c:numCache>
                <c:formatCode>General</c:formatCode>
                <c:ptCount val="2"/>
                <c:pt idx="0">
                  <c:v>7</c:v>
                </c:pt>
                <c:pt idx="1">
                  <c:v>7</c:v>
                </c:pt>
              </c:numCache>
            </c:numRef>
          </c:yVal>
          <c:smooth val="1"/>
          <c:extLst>
            <c:ext xmlns:c16="http://schemas.microsoft.com/office/drawing/2014/chart" uri="{C3380CC4-5D6E-409C-BE32-E72D297353CC}">
              <c16:uniqueId val="{00000006-CC7B-4C5B-826F-11AD3146B411}"/>
            </c:ext>
          </c:extLst>
        </c:ser>
        <c:ser>
          <c:idx val="7"/>
          <c:order val="7"/>
          <c:spPr>
            <a:ln w="12700">
              <a:solidFill>
                <a:srgbClr val="0000FF"/>
              </a:solidFill>
              <a:prstDash val="solid"/>
            </a:ln>
          </c:spPr>
          <c:marker>
            <c:symbol val="square"/>
            <c:size val="5"/>
            <c:spPr>
              <a:solidFill>
                <a:srgbClr val="993300"/>
              </a:solidFill>
              <a:ln>
                <a:solidFill>
                  <a:srgbClr val="993300"/>
                </a:solidFill>
                <a:prstDash val="solid"/>
              </a:ln>
            </c:spPr>
          </c:marker>
          <c:xVal>
            <c:numRef>
              <c:f>'D6913'!$L$34</c:f>
              <c:numCache>
                <c:formatCode>0\ "(%)"</c:formatCode>
                <c:ptCount val="1"/>
                <c:pt idx="0">
                  <c:v>31</c:v>
                </c:pt>
              </c:numCache>
            </c:numRef>
          </c:xVal>
          <c:yVal>
            <c:numRef>
              <c:f>'D6913'!$L$36</c:f>
              <c:numCache>
                <c:formatCode>0\ "(%)"</c:formatCode>
                <c:ptCount val="1"/>
                <c:pt idx="0">
                  <c:v>11.615210490445087</c:v>
                </c:pt>
              </c:numCache>
            </c:numRef>
          </c:yVal>
          <c:smooth val="1"/>
          <c:extLst>
            <c:ext xmlns:c16="http://schemas.microsoft.com/office/drawing/2014/chart" uri="{C3380CC4-5D6E-409C-BE32-E72D297353CC}">
              <c16:uniqueId val="{00000007-CC7B-4C5B-826F-11AD3146B411}"/>
            </c:ext>
          </c:extLst>
        </c:ser>
        <c:dLbls>
          <c:showLegendKey val="0"/>
          <c:showVal val="0"/>
          <c:showCatName val="0"/>
          <c:showSerName val="0"/>
          <c:showPercent val="0"/>
          <c:showBubbleSize val="0"/>
        </c:dLbls>
        <c:axId val="916112584"/>
        <c:axId val="916118856"/>
      </c:scatterChart>
      <c:valAx>
        <c:axId val="916112584"/>
        <c:scaling>
          <c:orientation val="minMax"/>
          <c:max val="100"/>
          <c:min val="0"/>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PE"/>
                  <a:t>Límite líquido</a:t>
                </a:r>
              </a:p>
            </c:rich>
          </c:tx>
          <c:layout>
            <c:manualLayout>
              <c:xMode val="edge"/>
              <c:yMode val="edge"/>
              <c:x val="0.44967550697953795"/>
              <c:y val="0.9414514880555184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916118856"/>
        <c:crosses val="autoZero"/>
        <c:crossBetween val="midCat"/>
        <c:majorUnit val="10"/>
      </c:valAx>
      <c:valAx>
        <c:axId val="916118856"/>
        <c:scaling>
          <c:orientation val="minMax"/>
          <c:max val="60"/>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s-PE"/>
                  <a:t>Índice plasticidad</a:t>
                </a:r>
              </a:p>
            </c:rich>
          </c:tx>
          <c:layout>
            <c:manualLayout>
              <c:xMode val="edge"/>
              <c:yMode val="edge"/>
              <c:x val="1.0206186913203029E-3"/>
              <c:y val="0.363112238088882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916112584"/>
        <c:crosses val="autoZero"/>
        <c:crossBetween val="midCat"/>
      </c:valAx>
      <c:spPr>
        <a:solidFill>
          <a:srgbClr val="FFFFCC"/>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s-PE"/>
    </a:p>
  </c:txPr>
  <c:printSettings>
    <c:headerFooter alignWithMargins="0"/>
    <c:pageMargins b="1" l="0.75000000000000011" r="0.75000000000000011" t="1" header="0" footer="0"/>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1300" b="1" i="0" u="none" strike="noStrike" baseline="0">
                <a:solidFill>
                  <a:srgbClr val="000000"/>
                </a:solidFill>
                <a:latin typeface="Arial"/>
                <a:ea typeface="Arial"/>
                <a:cs typeface="Arial"/>
              </a:defRPr>
            </a:pPr>
            <a:r>
              <a:rPr lang="es-PE"/>
              <a:t>CONTENIDO DE HUMEDAD A 25 GOLPES</a:t>
            </a:r>
          </a:p>
        </c:rich>
      </c:tx>
      <c:layout>
        <c:manualLayout>
          <c:xMode val="edge"/>
          <c:yMode val="edge"/>
          <c:x val="0.26563757527980714"/>
          <c:y val="7.8754618482606968E-4"/>
        </c:manualLayout>
      </c:layout>
      <c:overlay val="0"/>
      <c:spPr>
        <a:noFill/>
        <a:ln w="25400">
          <a:noFill/>
        </a:ln>
      </c:spPr>
    </c:title>
    <c:autoTitleDeleted val="0"/>
    <c:plotArea>
      <c:layout>
        <c:manualLayout>
          <c:layoutTarget val="inner"/>
          <c:xMode val="edge"/>
          <c:yMode val="edge"/>
          <c:x val="0.11479808999778641"/>
          <c:y val="0.10090337881318555"/>
          <c:w val="0.82084966776615864"/>
          <c:h val="0.78308612249915044"/>
        </c:manualLayout>
      </c:layout>
      <c:scatterChart>
        <c:scatterStyle val="lineMarker"/>
        <c:varyColors val="0"/>
        <c:ser>
          <c:idx val="2"/>
          <c:order val="0"/>
          <c:tx>
            <c:v>Limite Liquido</c:v>
          </c:tx>
          <c:spPr>
            <a:ln w="25400">
              <a:noFill/>
            </a:ln>
            <a:effectLst>
              <a:glow rad="127000">
                <a:schemeClr val="bg1"/>
              </a:glow>
              <a:outerShdw blurRad="50800" dist="50800" dir="5400000" algn="ctr" rotWithShape="0">
                <a:schemeClr val="bg1"/>
              </a:outerShdw>
            </a:effectLst>
          </c:spPr>
          <c:marker>
            <c:symbol val="circle"/>
            <c:size val="6"/>
            <c:spPr>
              <a:solidFill>
                <a:schemeClr val="accent6">
                  <a:lumMod val="50000"/>
                </a:schemeClr>
              </a:solidFill>
              <a:ln w="25400">
                <a:solidFill>
                  <a:schemeClr val="accent6">
                    <a:lumMod val="50000"/>
                  </a:schemeClr>
                </a:solidFill>
              </a:ln>
            </c:spPr>
          </c:marker>
          <c:dPt>
            <c:idx val="4"/>
            <c:bubble3D val="0"/>
            <c:extLst>
              <c:ext xmlns:c16="http://schemas.microsoft.com/office/drawing/2014/chart" uri="{C3380CC4-5D6E-409C-BE32-E72D297353CC}">
                <c16:uniqueId val="{00000000-153C-47AE-83EF-B03D0F69D019}"/>
              </c:ext>
            </c:extLst>
          </c:dPt>
          <c:trendline>
            <c:spPr>
              <a:ln w="19050">
                <a:solidFill>
                  <a:schemeClr val="tx1"/>
                </a:solidFill>
              </a:ln>
            </c:spPr>
            <c:trendlineType val="log"/>
            <c:forward val="6"/>
            <c:backward val="3"/>
            <c:dispRSqr val="0"/>
            <c:dispEq val="0"/>
          </c:trendline>
          <c:xVal>
            <c:numRef>
              <c:f>'D4318'!$U$16:$W$16</c:f>
              <c:numCache>
                <c:formatCode>0.00</c:formatCode>
                <c:ptCount val="3"/>
                <c:pt idx="0" formatCode="General">
                  <c:v>32</c:v>
                </c:pt>
                <c:pt idx="1">
                  <c:v>24</c:v>
                </c:pt>
                <c:pt idx="2" formatCode="General">
                  <c:v>16</c:v>
                </c:pt>
              </c:numCache>
            </c:numRef>
          </c:xVal>
          <c:yVal>
            <c:numRef>
              <c:f>'D4318'!$U$18:$W$18</c:f>
              <c:numCache>
                <c:formatCode>0.00</c:formatCode>
                <c:ptCount val="3"/>
                <c:pt idx="0">
                  <c:v>30.164670658682645</c:v>
                </c:pt>
                <c:pt idx="1">
                  <c:v>30.993278566094119</c:v>
                </c:pt>
                <c:pt idx="2">
                  <c:v>31.763826606875938</c:v>
                </c:pt>
              </c:numCache>
            </c:numRef>
          </c:yVal>
          <c:smooth val="0"/>
          <c:extLst>
            <c:ext xmlns:c16="http://schemas.microsoft.com/office/drawing/2014/chart" uri="{C3380CC4-5D6E-409C-BE32-E72D297353CC}">
              <c16:uniqueId val="{00000002-153C-47AE-83EF-B03D0F69D019}"/>
            </c:ext>
          </c:extLst>
        </c:ser>
        <c:ser>
          <c:idx val="1"/>
          <c:order val="1"/>
          <c:spPr>
            <a:ln w="22225">
              <a:solidFill>
                <a:srgbClr val="FF0000">
                  <a:alpha val="99000"/>
                </a:srgbClr>
              </a:solidFill>
              <a:prstDash val="sysDash"/>
            </a:ln>
          </c:spPr>
          <c:marker>
            <c:spPr>
              <a:noFill/>
              <a:ln>
                <a:noFill/>
              </a:ln>
            </c:spPr>
          </c:marker>
          <c:xVal>
            <c:numRef>
              <c:f>'D4318'!$Q$45</c:f>
              <c:numCache>
                <c:formatCode>General</c:formatCode>
                <c:ptCount val="1"/>
                <c:pt idx="0">
                  <c:v>25</c:v>
                </c:pt>
              </c:numCache>
            </c:numRef>
          </c:xVal>
          <c:yVal>
            <c:numRef>
              <c:f>'D4318'!$S$45</c:f>
              <c:numCache>
                <c:formatCode>0.000</c:formatCode>
                <c:ptCount val="1"/>
                <c:pt idx="0">
                  <c:v>30.791303876494531</c:v>
                </c:pt>
              </c:numCache>
            </c:numRef>
          </c:yVal>
          <c:smooth val="0"/>
          <c:extLst>
            <c:ext xmlns:c16="http://schemas.microsoft.com/office/drawing/2014/chart" uri="{C3380CC4-5D6E-409C-BE32-E72D297353CC}">
              <c16:uniqueId val="{00000003-153C-47AE-83EF-B03D0F69D019}"/>
            </c:ext>
          </c:extLst>
        </c:ser>
        <c:ser>
          <c:idx val="4"/>
          <c:order val="2"/>
          <c:spPr>
            <a:ln w="28575">
              <a:noFill/>
            </a:ln>
          </c:spPr>
          <c:marker>
            <c:spPr>
              <a:ln>
                <a:noFill/>
              </a:ln>
            </c:spPr>
          </c:marker>
          <c:errBars>
            <c:errDir val="x"/>
            <c:errBarType val="minus"/>
            <c:errValType val="percentage"/>
            <c:noEndCap val="0"/>
            <c:val val="80"/>
            <c:spPr>
              <a:ln w="15875">
                <a:solidFill>
                  <a:srgbClr val="C00000"/>
                </a:solidFill>
                <a:prstDash val="sysDash"/>
              </a:ln>
            </c:spPr>
          </c:errBars>
          <c:errBars>
            <c:errDir val="y"/>
            <c:errBarType val="minus"/>
            <c:errValType val="percentage"/>
            <c:noEndCap val="0"/>
            <c:val val="80"/>
            <c:spPr>
              <a:ln w="15875">
                <a:solidFill>
                  <a:srgbClr val="C00000"/>
                </a:solidFill>
                <a:prstDash val="sysDash"/>
              </a:ln>
            </c:spPr>
          </c:errBars>
          <c:xVal>
            <c:numRef>
              <c:f>'D4318'!$Q$45</c:f>
              <c:numCache>
                <c:formatCode>General</c:formatCode>
                <c:ptCount val="1"/>
                <c:pt idx="0">
                  <c:v>25</c:v>
                </c:pt>
              </c:numCache>
            </c:numRef>
          </c:xVal>
          <c:yVal>
            <c:numRef>
              <c:f>'D4318'!$S$45</c:f>
              <c:numCache>
                <c:formatCode>0.000</c:formatCode>
                <c:ptCount val="1"/>
                <c:pt idx="0">
                  <c:v>30.791303876494531</c:v>
                </c:pt>
              </c:numCache>
            </c:numRef>
          </c:yVal>
          <c:smooth val="0"/>
          <c:extLst>
            <c:ext xmlns:c16="http://schemas.microsoft.com/office/drawing/2014/chart" uri="{C3380CC4-5D6E-409C-BE32-E72D297353CC}">
              <c16:uniqueId val="{00000004-153C-47AE-83EF-B03D0F69D019}"/>
            </c:ext>
          </c:extLst>
        </c:ser>
        <c:ser>
          <c:idx val="0"/>
          <c:order val="3"/>
          <c:spPr>
            <a:ln w="28575">
              <a:noFill/>
            </a:ln>
          </c:spPr>
          <c:yVal>
            <c:numLit>
              <c:formatCode>General</c:formatCode>
              <c:ptCount val="1"/>
              <c:pt idx="0">
                <c:v>1</c:v>
              </c:pt>
            </c:numLit>
          </c:yVal>
          <c:smooth val="0"/>
          <c:extLst>
            <c:ext xmlns:c16="http://schemas.microsoft.com/office/drawing/2014/chart" uri="{C3380CC4-5D6E-409C-BE32-E72D297353CC}">
              <c16:uniqueId val="{00000005-153C-47AE-83EF-B03D0F69D019}"/>
            </c:ext>
          </c:extLst>
        </c:ser>
        <c:dLbls>
          <c:showLegendKey val="0"/>
          <c:showVal val="0"/>
          <c:showCatName val="0"/>
          <c:showSerName val="0"/>
          <c:showPercent val="0"/>
          <c:showBubbleSize val="0"/>
        </c:dLbls>
        <c:axId val="788633344"/>
        <c:axId val="788637264"/>
      </c:scatterChart>
      <c:valAx>
        <c:axId val="788633344"/>
        <c:scaling>
          <c:logBase val="10"/>
          <c:orientation val="minMax"/>
          <c:max val="100"/>
          <c:min val="10"/>
        </c:scaling>
        <c:delete val="0"/>
        <c:axPos val="b"/>
        <c:majorGridlines>
          <c:spPr>
            <a:ln>
              <a:solidFill>
                <a:schemeClr val="tx1"/>
              </a:solidFill>
            </a:ln>
          </c:spPr>
        </c:majorGridlines>
        <c:minorGridlines>
          <c:spPr>
            <a:ln w="3175">
              <a:solidFill>
                <a:srgbClr val="000000"/>
              </a:solidFill>
              <a:prstDash val="solid"/>
            </a:ln>
          </c:spPr>
        </c:minorGridlines>
        <c:title>
          <c:tx>
            <c:rich>
              <a:bodyPr/>
              <a:lstStyle/>
              <a:p>
                <a:pPr>
                  <a:defRPr lang="es-ES" sz="1100" b="1" i="0" u="none" strike="noStrike" baseline="0">
                    <a:solidFill>
                      <a:srgbClr val="000000"/>
                    </a:solidFill>
                    <a:latin typeface="Arial"/>
                    <a:ea typeface="Arial"/>
                    <a:cs typeface="Arial"/>
                  </a:defRPr>
                </a:pPr>
                <a:r>
                  <a:rPr lang="en-US"/>
                  <a:t>NUMERO DE GOLPES</a:t>
                </a:r>
              </a:p>
            </c:rich>
          </c:tx>
          <c:layout>
            <c:manualLayout>
              <c:xMode val="edge"/>
              <c:yMode val="edge"/>
              <c:x val="0.37923667574149267"/>
              <c:y val="0.93998163452708905"/>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lang="es-ES" sz="800" b="0" i="0" u="none" strike="noStrike" baseline="0">
                <a:solidFill>
                  <a:srgbClr val="000000"/>
                </a:solidFill>
                <a:latin typeface="Arial"/>
                <a:ea typeface="Arial"/>
                <a:cs typeface="Arial"/>
              </a:defRPr>
            </a:pPr>
            <a:endParaRPr lang="es-PE"/>
          </a:p>
        </c:txPr>
        <c:crossAx val="788637264"/>
        <c:crosses val="autoZero"/>
        <c:crossBetween val="midCat"/>
        <c:majorUnit val="10"/>
        <c:minorUnit val="10"/>
      </c:valAx>
      <c:valAx>
        <c:axId val="788637264"/>
        <c:scaling>
          <c:orientation val="minMax"/>
          <c:max val="35"/>
          <c:min val="28"/>
        </c:scaling>
        <c:delete val="0"/>
        <c:axPos val="l"/>
        <c:majorGridlines>
          <c:spPr>
            <a:ln w="3175">
              <a:solidFill>
                <a:srgbClr val="000000"/>
              </a:solidFill>
              <a:prstDash val="solid"/>
            </a:ln>
          </c:spPr>
        </c:majorGridlines>
        <c:minorGridlines>
          <c:spPr>
            <a:ln w="3175">
              <a:solidFill>
                <a:srgbClr val="C0C0C0"/>
              </a:solidFill>
              <a:prstDash val="solid"/>
            </a:ln>
          </c:spPr>
        </c:minorGridlines>
        <c:title>
          <c:tx>
            <c:rich>
              <a:bodyPr/>
              <a:lstStyle/>
              <a:p>
                <a:pPr>
                  <a:defRPr lang="es-ES" sz="1100" b="1" i="0" u="none" strike="noStrike" baseline="0">
                    <a:solidFill>
                      <a:srgbClr val="000000"/>
                    </a:solidFill>
                    <a:latin typeface="Arial"/>
                    <a:ea typeface="Arial"/>
                    <a:cs typeface="Arial"/>
                  </a:defRPr>
                </a:pPr>
                <a:r>
                  <a:rPr lang="en-US"/>
                  <a:t>CONTENIDO DE HUMEDAD (%)</a:t>
                </a:r>
              </a:p>
            </c:rich>
          </c:tx>
          <c:layout>
            <c:manualLayout>
              <c:xMode val="edge"/>
              <c:yMode val="edge"/>
              <c:x val="3.2384344046418115E-2"/>
              <c:y val="0.13876367280609594"/>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lang="es-ES" sz="800" b="0" i="0" u="none" strike="noStrike" baseline="0">
                <a:solidFill>
                  <a:srgbClr val="000000"/>
                </a:solidFill>
                <a:latin typeface="Arial"/>
                <a:ea typeface="Arial"/>
                <a:cs typeface="Arial"/>
              </a:defRPr>
            </a:pPr>
            <a:endParaRPr lang="es-PE"/>
          </a:p>
        </c:txPr>
        <c:crossAx val="788633344"/>
        <c:crossesAt val="1"/>
        <c:crossBetween val="midCat"/>
        <c:majorUnit val="1"/>
        <c:minorUnit val="0.2"/>
      </c:valAx>
      <c:spPr>
        <a:noFill/>
        <a:ln w="3175">
          <a:solidFill>
            <a:schemeClr val="tx1">
              <a:lumMod val="85000"/>
              <a:lumOff val="15000"/>
            </a:schemeClr>
          </a:solidFill>
          <a:prstDash val="solid"/>
        </a:ln>
      </c:spPr>
    </c:plotArea>
    <c:plotVisOnly val="1"/>
    <c:dispBlanksAs val="gap"/>
    <c:showDLblsOverMax val="0"/>
  </c:chart>
  <c:spPr>
    <a:solidFill>
      <a:srgbClr val="FFFFFF"/>
    </a:solidFill>
    <a:ln w="25400">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c:printSettings>
  <c:userShapes r:id="rId1"/>
</c:chartSpace>
</file>

<file path=xl/ctrlProps/ctrlProp1.xml><?xml version="1.0" encoding="utf-8"?>
<formControlPr xmlns="http://schemas.microsoft.com/office/spreadsheetml/2009/9/main" objectType="Scroll" dx="12" fmlaLink="B98" max="2" min="1" page="2" val="2"/>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emf"/><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60960</xdr:colOff>
          <xdr:row>96</xdr:row>
          <xdr:rowOff>0</xdr:rowOff>
        </xdr:from>
        <xdr:to>
          <xdr:col>3</xdr:col>
          <xdr:colOff>213360</xdr:colOff>
          <xdr:row>98</xdr:row>
          <xdr:rowOff>114300</xdr:rowOff>
        </xdr:to>
        <xdr:sp macro="" textlink="">
          <xdr:nvSpPr>
            <xdr:cNvPr id="14337" name="Scroll Bar 1" hidden="1">
              <a:extLst>
                <a:ext uri="{63B3BB69-23CF-44E3-9099-C40C66FF867C}">
                  <a14:compatExt spid="_x0000_s14337"/>
                </a:ext>
                <a:ext uri="{FF2B5EF4-FFF2-40B4-BE49-F238E27FC236}">
                  <a16:creationId xmlns:a16="http://schemas.microsoft.com/office/drawing/2014/main" id="{00000000-0008-0000-0100-0000013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32</xdr:row>
      <xdr:rowOff>38100</xdr:rowOff>
    </xdr:from>
    <xdr:to>
      <xdr:col>6</xdr:col>
      <xdr:colOff>0</xdr:colOff>
      <xdr:row>49</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49</xdr:row>
      <xdr:rowOff>95250</xdr:rowOff>
    </xdr:from>
    <xdr:to>
      <xdr:col>6</xdr:col>
      <xdr:colOff>0</xdr:colOff>
      <xdr:row>69</xdr:row>
      <xdr:rowOff>104775</xdr:rowOff>
    </xdr:to>
    <xdr:grpSp>
      <xdr:nvGrpSpPr>
        <xdr:cNvPr id="3" name="Group 2">
          <a:extLst>
            <a:ext uri="{FF2B5EF4-FFF2-40B4-BE49-F238E27FC236}">
              <a16:creationId xmlns:a16="http://schemas.microsoft.com/office/drawing/2014/main" id="{00000000-0008-0000-0300-000003000000}"/>
            </a:ext>
          </a:extLst>
        </xdr:cNvPr>
        <xdr:cNvGrpSpPr>
          <a:grpSpLocks/>
        </xdr:cNvGrpSpPr>
      </xdr:nvGrpSpPr>
      <xdr:grpSpPr bwMode="auto">
        <a:xfrm>
          <a:off x="419100" y="8827770"/>
          <a:ext cx="4587240" cy="3484245"/>
          <a:chOff x="20" y="900"/>
          <a:chExt cx="471" cy="347"/>
        </a:xfrm>
      </xdr:grpSpPr>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20" y="900"/>
          <a:ext cx="471" cy="34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 Box 4">
            <a:extLst>
              <a:ext uri="{FF2B5EF4-FFF2-40B4-BE49-F238E27FC236}">
                <a16:creationId xmlns:a16="http://schemas.microsoft.com/office/drawing/2014/main" id="{00000000-0008-0000-0300-000005000000}"/>
              </a:ext>
            </a:extLst>
          </xdr:cNvPr>
          <xdr:cNvSpPr txBox="1">
            <a:spLocks noChangeArrowheads="1"/>
          </xdr:cNvSpPr>
        </xdr:nvSpPr>
        <xdr:spPr bwMode="auto">
          <a:xfrm>
            <a:off x="361" y="1123"/>
            <a:ext cx="44" cy="17"/>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OH ó MH</a:t>
            </a:r>
          </a:p>
        </xdr:txBody>
      </xdr:sp>
      <xdr:sp macro="" textlink="">
        <xdr:nvSpPr>
          <xdr:cNvPr id="6" name="Text Box 5">
            <a:extLst>
              <a:ext uri="{FF2B5EF4-FFF2-40B4-BE49-F238E27FC236}">
                <a16:creationId xmlns:a16="http://schemas.microsoft.com/office/drawing/2014/main" id="{00000000-0008-0000-0300-000006000000}"/>
              </a:ext>
            </a:extLst>
          </xdr:cNvPr>
          <xdr:cNvSpPr txBox="1">
            <a:spLocks noChangeArrowheads="1"/>
          </xdr:cNvSpPr>
        </xdr:nvSpPr>
        <xdr:spPr bwMode="auto">
          <a:xfrm>
            <a:off x="324" y="1012"/>
            <a:ext cx="16" cy="17"/>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CH</a:t>
            </a:r>
          </a:p>
        </xdr:txBody>
      </xdr:sp>
      <xdr:sp macro="" textlink="">
        <xdr:nvSpPr>
          <xdr:cNvPr id="7" name="Text Box 6">
            <a:extLst>
              <a:ext uri="{FF2B5EF4-FFF2-40B4-BE49-F238E27FC236}">
                <a16:creationId xmlns:a16="http://schemas.microsoft.com/office/drawing/2014/main" id="{00000000-0008-0000-0300-000007000000}"/>
              </a:ext>
            </a:extLst>
          </xdr:cNvPr>
          <xdr:cNvSpPr txBox="1">
            <a:spLocks noChangeArrowheads="1"/>
          </xdr:cNvSpPr>
        </xdr:nvSpPr>
        <xdr:spPr bwMode="auto">
          <a:xfrm>
            <a:off x="195" y="1058"/>
            <a:ext cx="15" cy="17"/>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CL</a:t>
            </a:r>
          </a:p>
        </xdr:txBody>
      </xdr:sp>
      <xdr:sp macro="" textlink="">
        <xdr:nvSpPr>
          <xdr:cNvPr id="8" name="Text Box 7">
            <a:extLst>
              <a:ext uri="{FF2B5EF4-FFF2-40B4-BE49-F238E27FC236}">
                <a16:creationId xmlns:a16="http://schemas.microsoft.com/office/drawing/2014/main" id="{00000000-0008-0000-0300-000008000000}"/>
              </a:ext>
            </a:extLst>
          </xdr:cNvPr>
          <xdr:cNvSpPr txBox="1">
            <a:spLocks noChangeArrowheads="1"/>
          </xdr:cNvSpPr>
        </xdr:nvSpPr>
        <xdr:spPr bwMode="auto">
          <a:xfrm>
            <a:off x="215" y="1157"/>
            <a:ext cx="42" cy="17"/>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ML ú OL</a:t>
            </a:r>
          </a:p>
        </xdr:txBody>
      </xdr:sp>
      <xdr:sp macro="" textlink="">
        <xdr:nvSpPr>
          <xdr:cNvPr id="9" name="Text Box 8">
            <a:extLst>
              <a:ext uri="{FF2B5EF4-FFF2-40B4-BE49-F238E27FC236}">
                <a16:creationId xmlns:a16="http://schemas.microsoft.com/office/drawing/2014/main" id="{00000000-0008-0000-0300-000009000000}"/>
              </a:ext>
            </a:extLst>
          </xdr:cNvPr>
          <xdr:cNvSpPr txBox="1">
            <a:spLocks noChangeArrowheads="1"/>
          </xdr:cNvSpPr>
        </xdr:nvSpPr>
        <xdr:spPr bwMode="auto">
          <a:xfrm>
            <a:off x="139" y="1157"/>
            <a:ext cx="31" cy="13"/>
          </a:xfrm>
          <a:prstGeom prst="rect">
            <a:avLst/>
          </a:prstGeom>
          <a:noFill/>
          <a:ln w="9525">
            <a:noFill/>
            <a:miter lim="800000"/>
            <a:headEnd/>
            <a:tailEnd/>
          </a:ln>
        </xdr:spPr>
        <xdr:txBody>
          <a:bodyPr wrap="none" lIns="18288" tIns="18288" rIns="0" bIns="0" anchor="t" upright="1">
            <a:spAutoFit/>
          </a:bodyPr>
          <a:lstStyle/>
          <a:p>
            <a:pPr algn="l" rtl="0">
              <a:defRPr sz="1000"/>
            </a:pPr>
            <a:r>
              <a:rPr lang="es-ES" sz="600" b="0" i="0" strike="noStrike">
                <a:solidFill>
                  <a:srgbClr val="000000"/>
                </a:solidFill>
                <a:latin typeface="Arial"/>
                <a:cs typeface="Arial"/>
              </a:rPr>
              <a:t>CL - ML</a:t>
            </a:r>
          </a:p>
        </xdr:txBody>
      </xdr:sp>
      <xdr:sp macro="" textlink="">
        <xdr:nvSpPr>
          <xdr:cNvPr id="10" name="Text Box 9">
            <a:extLst>
              <a:ext uri="{FF2B5EF4-FFF2-40B4-BE49-F238E27FC236}">
                <a16:creationId xmlns:a16="http://schemas.microsoft.com/office/drawing/2014/main" id="{00000000-0008-0000-0300-00000A000000}"/>
              </a:ext>
            </a:extLst>
          </xdr:cNvPr>
          <xdr:cNvSpPr txBox="1">
            <a:spLocks noChangeArrowheads="1"/>
          </xdr:cNvSpPr>
        </xdr:nvSpPr>
        <xdr:spPr bwMode="auto">
          <a:xfrm>
            <a:off x="129" y="1166"/>
            <a:ext cx="16" cy="17"/>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ML</a:t>
            </a:r>
          </a:p>
        </xdr:txBody>
      </xdr:sp>
      <xdr:sp macro="" textlink="">
        <xdr:nvSpPr>
          <xdr:cNvPr id="11" name="Text Box 10">
            <a:extLst>
              <a:ext uri="{FF2B5EF4-FFF2-40B4-BE49-F238E27FC236}">
                <a16:creationId xmlns:a16="http://schemas.microsoft.com/office/drawing/2014/main" id="{00000000-0008-0000-0300-00000B000000}"/>
              </a:ext>
            </a:extLst>
          </xdr:cNvPr>
          <xdr:cNvSpPr txBox="1">
            <a:spLocks noChangeArrowheads="1"/>
          </xdr:cNvSpPr>
        </xdr:nvSpPr>
        <xdr:spPr bwMode="auto">
          <a:xfrm>
            <a:off x="392" y="1020"/>
            <a:ext cx="51" cy="19"/>
          </a:xfrm>
          <a:prstGeom prst="rect">
            <a:avLst/>
          </a:prstGeom>
          <a:noFill/>
          <a:ln w="9525">
            <a:noFill/>
            <a:miter lim="800000"/>
            <a:headEnd/>
            <a:tailEnd/>
          </a:ln>
        </xdr:spPr>
        <xdr:txBody>
          <a:bodyPr wrap="none" lIns="18288" tIns="22860" rIns="0" bIns="0" anchor="t" upright="1">
            <a:spAutoFit/>
          </a:bodyPr>
          <a:lstStyle/>
          <a:p>
            <a:pPr algn="l" rtl="0">
              <a:defRPr sz="1000"/>
            </a:pPr>
            <a:r>
              <a:rPr lang="es-ES" sz="1000" b="1" i="0" strike="noStrike">
                <a:solidFill>
                  <a:srgbClr val="000000"/>
                </a:solidFill>
                <a:latin typeface="Arial"/>
                <a:cs typeface="Arial"/>
              </a:rPr>
              <a:t>Línea A</a:t>
            </a:r>
          </a:p>
        </xdr:txBody>
      </xdr:sp>
      <xdr:sp macro="" textlink="">
        <xdr:nvSpPr>
          <xdr:cNvPr id="12" name="Text Box 11">
            <a:extLst>
              <a:ext uri="{FF2B5EF4-FFF2-40B4-BE49-F238E27FC236}">
                <a16:creationId xmlns:a16="http://schemas.microsoft.com/office/drawing/2014/main" id="{00000000-0008-0000-0300-00000C000000}"/>
              </a:ext>
            </a:extLst>
          </xdr:cNvPr>
          <xdr:cNvSpPr txBox="1">
            <a:spLocks noChangeArrowheads="1"/>
          </xdr:cNvSpPr>
        </xdr:nvSpPr>
        <xdr:spPr bwMode="auto">
          <a:xfrm>
            <a:off x="219" y="969"/>
            <a:ext cx="51" cy="19"/>
          </a:xfrm>
          <a:prstGeom prst="rect">
            <a:avLst/>
          </a:prstGeom>
          <a:noFill/>
          <a:ln w="9525">
            <a:noFill/>
            <a:miter lim="800000"/>
            <a:headEnd/>
            <a:tailEnd/>
          </a:ln>
        </xdr:spPr>
        <xdr:txBody>
          <a:bodyPr wrap="none" lIns="18288" tIns="22860" rIns="0" bIns="0" anchor="t" upright="1">
            <a:spAutoFit/>
          </a:bodyPr>
          <a:lstStyle/>
          <a:p>
            <a:pPr algn="l" rtl="0">
              <a:defRPr sz="1000"/>
            </a:pPr>
            <a:r>
              <a:rPr lang="es-ES" sz="1000" b="1" i="0" strike="noStrike">
                <a:solidFill>
                  <a:srgbClr val="000000"/>
                </a:solidFill>
                <a:latin typeface="Arial"/>
                <a:cs typeface="Arial"/>
              </a:rPr>
              <a:t>Línea B</a:t>
            </a:r>
          </a:p>
        </xdr:txBody>
      </xdr:sp>
    </xdr:grpSp>
    <xdr:clientData/>
  </xdr:twoCellAnchor>
  <xdr:twoCellAnchor>
    <xdr:from>
      <xdr:col>8</xdr:col>
      <xdr:colOff>0</xdr:colOff>
      <xdr:row>2</xdr:row>
      <xdr:rowOff>66675</xdr:rowOff>
    </xdr:from>
    <xdr:to>
      <xdr:col>12</xdr:col>
      <xdr:colOff>0</xdr:colOff>
      <xdr:row>22</xdr:row>
      <xdr:rowOff>38100</xdr:rowOff>
    </xdr:to>
    <xdr:grpSp>
      <xdr:nvGrpSpPr>
        <xdr:cNvPr id="13" name="Group 15">
          <a:extLst>
            <a:ext uri="{FF2B5EF4-FFF2-40B4-BE49-F238E27FC236}">
              <a16:creationId xmlns:a16="http://schemas.microsoft.com/office/drawing/2014/main" id="{00000000-0008-0000-0300-00000D000000}"/>
            </a:ext>
          </a:extLst>
        </xdr:cNvPr>
        <xdr:cNvGrpSpPr>
          <a:grpSpLocks/>
        </xdr:cNvGrpSpPr>
      </xdr:nvGrpSpPr>
      <xdr:grpSpPr bwMode="auto">
        <a:xfrm>
          <a:off x="5204460" y="440055"/>
          <a:ext cx="4610100" cy="3644265"/>
          <a:chOff x="502" y="62"/>
          <a:chExt cx="470" cy="341"/>
        </a:xfrm>
      </xdr:grpSpPr>
      <xdr:graphicFrame macro="">
        <xdr:nvGraphicFramePr>
          <xdr:cNvPr id="14" name="Chart 16">
            <a:extLst>
              <a:ext uri="{FF2B5EF4-FFF2-40B4-BE49-F238E27FC236}">
                <a16:creationId xmlns:a16="http://schemas.microsoft.com/office/drawing/2014/main" id="{00000000-0008-0000-0300-00000E000000}"/>
              </a:ext>
            </a:extLst>
          </xdr:cNvPr>
          <xdr:cNvGraphicFramePr>
            <a:graphicFrameLocks/>
          </xdr:cNvGraphicFramePr>
        </xdr:nvGraphicFramePr>
        <xdr:xfrm>
          <a:off x="502" y="62"/>
          <a:ext cx="470" cy="341"/>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5" name="Text Box 17">
            <a:extLst>
              <a:ext uri="{FF2B5EF4-FFF2-40B4-BE49-F238E27FC236}">
                <a16:creationId xmlns:a16="http://schemas.microsoft.com/office/drawing/2014/main" id="{00000000-0008-0000-0300-00000F000000}"/>
              </a:ext>
            </a:extLst>
          </xdr:cNvPr>
          <xdr:cNvSpPr txBox="1">
            <a:spLocks noChangeArrowheads="1"/>
          </xdr:cNvSpPr>
        </xdr:nvSpPr>
        <xdr:spPr bwMode="auto">
          <a:xfrm>
            <a:off x="645" y="248"/>
            <a:ext cx="30" cy="32"/>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A-6</a:t>
            </a:r>
          </a:p>
          <a:p>
            <a:pPr algn="l" rtl="0">
              <a:defRPr sz="1000"/>
            </a:pPr>
            <a:r>
              <a:rPr lang="es-ES" sz="800" b="0" i="0" strike="noStrike">
                <a:solidFill>
                  <a:srgbClr val="000000"/>
                </a:solidFill>
                <a:latin typeface="Arial"/>
                <a:cs typeface="Arial"/>
              </a:rPr>
              <a:t>A-2-6</a:t>
            </a:r>
          </a:p>
        </xdr:txBody>
      </xdr:sp>
      <xdr:sp macro="" textlink="">
        <xdr:nvSpPr>
          <xdr:cNvPr id="16" name="Text Box 18">
            <a:extLst>
              <a:ext uri="{FF2B5EF4-FFF2-40B4-BE49-F238E27FC236}">
                <a16:creationId xmlns:a16="http://schemas.microsoft.com/office/drawing/2014/main" id="{00000000-0008-0000-0300-000010000000}"/>
              </a:ext>
            </a:extLst>
          </xdr:cNvPr>
          <xdr:cNvSpPr txBox="1">
            <a:spLocks noChangeArrowheads="1"/>
          </xdr:cNvSpPr>
        </xdr:nvSpPr>
        <xdr:spPr bwMode="auto">
          <a:xfrm>
            <a:off x="645" y="306"/>
            <a:ext cx="30" cy="32"/>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A-4</a:t>
            </a:r>
          </a:p>
          <a:p>
            <a:pPr algn="l" rtl="0">
              <a:defRPr sz="1000"/>
            </a:pPr>
            <a:r>
              <a:rPr lang="es-ES" sz="800" b="0" i="0" strike="noStrike">
                <a:solidFill>
                  <a:srgbClr val="000000"/>
                </a:solidFill>
                <a:latin typeface="Arial"/>
                <a:cs typeface="Arial"/>
              </a:rPr>
              <a:t>A-2-4</a:t>
            </a:r>
          </a:p>
        </xdr:txBody>
      </xdr:sp>
      <xdr:sp macro="" textlink="">
        <xdr:nvSpPr>
          <xdr:cNvPr id="17" name="Text Box 19">
            <a:extLst>
              <a:ext uri="{FF2B5EF4-FFF2-40B4-BE49-F238E27FC236}">
                <a16:creationId xmlns:a16="http://schemas.microsoft.com/office/drawing/2014/main" id="{00000000-0008-0000-0300-000011000000}"/>
              </a:ext>
            </a:extLst>
          </xdr:cNvPr>
          <xdr:cNvSpPr txBox="1">
            <a:spLocks noChangeArrowheads="1"/>
          </xdr:cNvSpPr>
        </xdr:nvSpPr>
        <xdr:spPr bwMode="auto">
          <a:xfrm>
            <a:off x="760" y="197"/>
            <a:ext cx="30" cy="17"/>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A-7-6</a:t>
            </a:r>
          </a:p>
        </xdr:txBody>
      </xdr:sp>
      <xdr:sp macro="" textlink="">
        <xdr:nvSpPr>
          <xdr:cNvPr id="18" name="Text Box 20">
            <a:extLst>
              <a:ext uri="{FF2B5EF4-FFF2-40B4-BE49-F238E27FC236}">
                <a16:creationId xmlns:a16="http://schemas.microsoft.com/office/drawing/2014/main" id="{00000000-0008-0000-0300-000012000000}"/>
              </a:ext>
            </a:extLst>
          </xdr:cNvPr>
          <xdr:cNvSpPr txBox="1">
            <a:spLocks noChangeArrowheads="1"/>
          </xdr:cNvSpPr>
        </xdr:nvSpPr>
        <xdr:spPr bwMode="auto">
          <a:xfrm>
            <a:off x="760" y="306"/>
            <a:ext cx="30" cy="32"/>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A-5</a:t>
            </a:r>
          </a:p>
          <a:p>
            <a:pPr algn="l" rtl="0">
              <a:defRPr sz="1000"/>
            </a:pPr>
            <a:r>
              <a:rPr lang="es-ES" sz="800" b="0" i="0" strike="noStrike">
                <a:solidFill>
                  <a:srgbClr val="000000"/>
                </a:solidFill>
                <a:latin typeface="Arial"/>
                <a:cs typeface="Arial"/>
              </a:rPr>
              <a:t>A-2-5</a:t>
            </a:r>
          </a:p>
        </xdr:txBody>
      </xdr:sp>
      <xdr:sp macro="" textlink="">
        <xdr:nvSpPr>
          <xdr:cNvPr id="19" name="Text Box 21">
            <a:extLst>
              <a:ext uri="{FF2B5EF4-FFF2-40B4-BE49-F238E27FC236}">
                <a16:creationId xmlns:a16="http://schemas.microsoft.com/office/drawing/2014/main" id="{00000000-0008-0000-0300-000013000000}"/>
              </a:ext>
            </a:extLst>
          </xdr:cNvPr>
          <xdr:cNvSpPr txBox="1">
            <a:spLocks noChangeArrowheads="1"/>
          </xdr:cNvSpPr>
        </xdr:nvSpPr>
        <xdr:spPr bwMode="auto">
          <a:xfrm>
            <a:off x="835" y="248"/>
            <a:ext cx="30" cy="32"/>
          </a:xfrm>
          <a:prstGeom prst="rect">
            <a:avLst/>
          </a:prstGeom>
          <a:noFill/>
          <a:ln w="9525">
            <a:noFill/>
            <a:miter lim="800000"/>
            <a:headEnd/>
            <a:tailEnd/>
          </a:ln>
        </xdr:spPr>
        <xdr:txBody>
          <a:bodyPr wrap="none" lIns="18288" tIns="22860" rIns="0" bIns="0" anchor="t" upright="1">
            <a:spAutoFit/>
          </a:bodyPr>
          <a:lstStyle/>
          <a:p>
            <a:pPr algn="l" rtl="0">
              <a:defRPr sz="1000"/>
            </a:pPr>
            <a:r>
              <a:rPr lang="es-ES" sz="800" b="0" i="0" strike="noStrike">
                <a:solidFill>
                  <a:srgbClr val="000000"/>
                </a:solidFill>
                <a:latin typeface="Arial"/>
                <a:cs typeface="Arial"/>
              </a:rPr>
              <a:t>A-7-5</a:t>
            </a:r>
          </a:p>
          <a:p>
            <a:pPr algn="l" rtl="0">
              <a:defRPr sz="1000"/>
            </a:pPr>
            <a:r>
              <a:rPr lang="es-ES" sz="800" b="0" i="0" strike="noStrike">
                <a:solidFill>
                  <a:srgbClr val="000000"/>
                </a:solidFill>
                <a:latin typeface="Arial"/>
                <a:cs typeface="Arial"/>
              </a:rPr>
              <a:t>A-2-7</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27</xdr:row>
      <xdr:rowOff>9525</xdr:rowOff>
    </xdr:from>
    <xdr:to>
      <xdr:col>12</xdr:col>
      <xdr:colOff>342900</xdr:colOff>
      <xdr:row>60</xdr:row>
      <xdr:rowOff>9525</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266700</xdr:colOff>
      <xdr:row>34</xdr:row>
      <xdr:rowOff>57150</xdr:rowOff>
    </xdr:from>
    <xdr:ext cx="704850" cy="190500"/>
    <xdr:sp macro="" textlink="">
      <xdr:nvSpPr>
        <xdr:cNvPr id="3" name="Text Box 2">
          <a:extLst>
            <a:ext uri="{FF2B5EF4-FFF2-40B4-BE49-F238E27FC236}">
              <a16:creationId xmlns:a16="http://schemas.microsoft.com/office/drawing/2014/main" id="{00000000-0008-0000-0400-000003000000}"/>
            </a:ext>
          </a:extLst>
        </xdr:cNvPr>
        <xdr:cNvSpPr txBox="1">
          <a:spLocks noChangeArrowheads="1"/>
        </xdr:cNvSpPr>
      </xdr:nvSpPr>
      <xdr:spPr bwMode="auto">
        <a:xfrm>
          <a:off x="5248275" y="5953125"/>
          <a:ext cx="704850" cy="190500"/>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wrap="none" lIns="18288" tIns="22860" rIns="0" bIns="0" anchor="t" upright="1">
          <a:spAutoFit/>
        </a:bodyPr>
        <a:lstStyle/>
        <a:p>
          <a:pPr algn="l" rtl="0">
            <a:defRPr sz="1000"/>
          </a:pPr>
          <a:r>
            <a:rPr lang="es-PE" sz="1000" b="1" i="0" strike="noStrike">
              <a:solidFill>
                <a:srgbClr val="000000"/>
              </a:solidFill>
              <a:latin typeface="Arial"/>
              <a:cs typeface="Arial"/>
            </a:rPr>
            <a:t>IP = LL - 30</a:t>
          </a:r>
        </a:p>
      </xdr:txBody>
    </xdr:sp>
    <xdr:clientData/>
  </xdr:oneCellAnchor>
  <xdr:twoCellAnchor>
    <xdr:from>
      <xdr:col>9</xdr:col>
      <xdr:colOff>209550</xdr:colOff>
      <xdr:row>35</xdr:row>
      <xdr:rowOff>114300</xdr:rowOff>
    </xdr:from>
    <xdr:to>
      <xdr:col>9</xdr:col>
      <xdr:colOff>428625</xdr:colOff>
      <xdr:row>39</xdr:row>
      <xdr:rowOff>9525</xdr:rowOff>
    </xdr:to>
    <xdr:sp macro="" textlink="">
      <xdr:nvSpPr>
        <xdr:cNvPr id="4" name="Line 3">
          <a:extLst>
            <a:ext uri="{FF2B5EF4-FFF2-40B4-BE49-F238E27FC236}">
              <a16:creationId xmlns:a16="http://schemas.microsoft.com/office/drawing/2014/main" id="{00000000-0008-0000-0400-000004000000}"/>
            </a:ext>
          </a:extLst>
        </xdr:cNvPr>
        <xdr:cNvSpPr>
          <a:spLocks noChangeShapeType="1"/>
        </xdr:cNvSpPr>
      </xdr:nvSpPr>
      <xdr:spPr bwMode="auto">
        <a:xfrm>
          <a:off x="5772150" y="6172200"/>
          <a:ext cx="219075" cy="542925"/>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104775</xdr:colOff>
      <xdr:row>0</xdr:row>
      <xdr:rowOff>0</xdr:rowOff>
    </xdr:from>
    <xdr:to>
      <xdr:col>12</xdr:col>
      <xdr:colOff>552450</xdr:colOff>
      <xdr:row>2</xdr:row>
      <xdr:rowOff>171450</xdr:rowOff>
    </xdr:to>
    <xdr:sp macro="" textlink="">
      <xdr:nvSpPr>
        <xdr:cNvPr id="5" name="Text Box 7">
          <a:extLst>
            <a:ext uri="{FF2B5EF4-FFF2-40B4-BE49-F238E27FC236}">
              <a16:creationId xmlns:a16="http://schemas.microsoft.com/office/drawing/2014/main" id="{00000000-0008-0000-0400-000005000000}"/>
            </a:ext>
          </a:extLst>
        </xdr:cNvPr>
        <xdr:cNvSpPr txBox="1">
          <a:spLocks noChangeArrowheads="1"/>
        </xdr:cNvSpPr>
      </xdr:nvSpPr>
      <xdr:spPr bwMode="auto">
        <a:xfrm>
          <a:off x="6838950" y="0"/>
          <a:ext cx="1009650" cy="523875"/>
        </a:xfrm>
        <a:prstGeom prst="rect">
          <a:avLst/>
        </a:prstGeom>
        <a:noFill/>
        <a:ln w="9525">
          <a:solidFill>
            <a:srgbClr val="000000"/>
          </a:solidFill>
          <a:miter lim="800000"/>
          <a:headEnd/>
          <a:tailEnd/>
        </a:ln>
        <a:effectLst/>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 Formato : 431</a:t>
          </a:r>
        </a:p>
        <a:p>
          <a:pPr algn="l" rtl="0">
            <a:defRPr sz="1000"/>
          </a:pPr>
          <a:r>
            <a:rPr lang="es-PE" sz="1000" b="0" i="0" strike="noStrike">
              <a:solidFill>
                <a:srgbClr val="000000"/>
              </a:solidFill>
              <a:latin typeface="Arial"/>
              <a:cs typeface="Arial"/>
            </a:rPr>
            <a:t> Revisión : 00</a:t>
          </a:r>
        </a:p>
        <a:p>
          <a:pPr algn="l" rtl="0">
            <a:defRPr sz="1000"/>
          </a:pPr>
          <a:r>
            <a:rPr lang="es-PE" sz="1000" b="0" i="0" strike="noStrike">
              <a:solidFill>
                <a:srgbClr val="000000"/>
              </a:solidFill>
              <a:latin typeface="Arial"/>
              <a:cs typeface="Arial"/>
            </a:rPr>
            <a:t> Fecha    : Jul 05</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0.44077</cdr:x>
      <cdr:y>0.13462</cdr:y>
    </cdr:from>
    <cdr:to>
      <cdr:x>0.44077</cdr:x>
      <cdr:y>0.87005</cdr:y>
    </cdr:to>
    <cdr:sp macro="" textlink="">
      <cdr:nvSpPr>
        <cdr:cNvPr id="3073" name="Line 1"/>
        <cdr:cNvSpPr>
          <a:spLocks xmlns:a="http://schemas.openxmlformats.org/drawingml/2006/main" noChangeShapeType="1"/>
        </cdr:cNvSpPr>
      </cdr:nvSpPr>
      <cdr:spPr bwMode="auto">
        <a:xfrm xmlns:a="http://schemas.openxmlformats.org/drawingml/2006/main">
          <a:off x="3273679" y="723798"/>
          <a:ext cx="0" cy="3936778"/>
        </a:xfrm>
        <a:prstGeom xmlns:a="http://schemas.openxmlformats.org/drawingml/2006/main" prst="line">
          <a:avLst/>
        </a:prstGeom>
        <a:noFill xmlns:a="http://schemas.openxmlformats.org/drawingml/2006/main"/>
        <a:ln xmlns:a="http://schemas.openxmlformats.org/drawingml/2006/main" w="22225">
          <a:solidFill>
            <a:srgbClr val="000000"/>
          </a:solidFill>
          <a:round/>
          <a:headEnd/>
          <a:tailEnd/>
        </a:ln>
      </cdr:spPr>
      <cdr:txBody>
        <a:bodyPr xmlns:a="http://schemas.openxmlformats.org/drawingml/2006/main"/>
        <a:lstStyle xmlns:a="http://schemas.openxmlformats.org/drawingml/2006/main"/>
        <a:p xmlns:a="http://schemas.openxmlformats.org/drawingml/2006/main">
          <a:endParaRPr lang="es-PE"/>
        </a:p>
      </cdr:txBody>
    </cdr:sp>
  </cdr:relSizeAnchor>
  <cdr:relSizeAnchor xmlns:cdr="http://schemas.openxmlformats.org/drawingml/2006/chartDrawing">
    <cdr:from>
      <cdr:x>0.09329</cdr:x>
      <cdr:y>0.76421</cdr:y>
    </cdr:from>
    <cdr:to>
      <cdr:x>0.9615</cdr:x>
      <cdr:y>0.76569</cdr:y>
    </cdr:to>
    <cdr:sp macro="" textlink="">
      <cdr:nvSpPr>
        <cdr:cNvPr id="3076" name="Line 4"/>
        <cdr:cNvSpPr>
          <a:spLocks xmlns:a="http://schemas.openxmlformats.org/drawingml/2006/main" noChangeShapeType="1"/>
        </cdr:cNvSpPr>
      </cdr:nvSpPr>
      <cdr:spPr bwMode="auto">
        <a:xfrm xmlns:a="http://schemas.openxmlformats.org/drawingml/2006/main">
          <a:off x="695376" y="4094048"/>
          <a:ext cx="6442095" cy="7887"/>
        </a:xfrm>
        <a:prstGeom xmlns:a="http://schemas.openxmlformats.org/drawingml/2006/main" prst="line">
          <a:avLst/>
        </a:prstGeom>
        <a:noFill xmlns:a="http://schemas.openxmlformats.org/drawingml/2006/main"/>
        <a:ln xmlns:a="http://schemas.openxmlformats.org/drawingml/2006/main" w="22225">
          <a:solidFill>
            <a:srgbClr val="000000"/>
          </a:solidFill>
          <a:round/>
          <a:headEnd/>
          <a:tailEnd/>
        </a:ln>
      </cdr:spPr>
      <cdr:txBody>
        <a:bodyPr xmlns:a="http://schemas.openxmlformats.org/drawingml/2006/main"/>
        <a:lstStyle xmlns:a="http://schemas.openxmlformats.org/drawingml/2006/main"/>
        <a:p xmlns:a="http://schemas.openxmlformats.org/drawingml/2006/main">
          <a:endParaRPr lang="es-PE"/>
        </a:p>
      </cdr:txBody>
    </cdr:sp>
  </cdr:relSizeAnchor>
  <cdr:relSizeAnchor xmlns:cdr="http://schemas.openxmlformats.org/drawingml/2006/chartDrawing">
    <cdr:from>
      <cdr:x>0.44077</cdr:x>
      <cdr:y>0.13462</cdr:y>
    </cdr:from>
    <cdr:to>
      <cdr:x>0.9615</cdr:x>
      <cdr:y>0.76569</cdr:y>
    </cdr:to>
    <cdr:sp macro="" textlink="">
      <cdr:nvSpPr>
        <cdr:cNvPr id="3077" name="Line 5"/>
        <cdr:cNvSpPr>
          <a:spLocks xmlns:a="http://schemas.openxmlformats.org/drawingml/2006/main" noChangeShapeType="1"/>
        </cdr:cNvSpPr>
      </cdr:nvSpPr>
      <cdr:spPr bwMode="auto">
        <a:xfrm xmlns:a="http://schemas.openxmlformats.org/drawingml/2006/main" flipV="1">
          <a:off x="3273679" y="723798"/>
          <a:ext cx="3863792" cy="3378137"/>
        </a:xfrm>
        <a:prstGeom xmlns:a="http://schemas.openxmlformats.org/drawingml/2006/main" prst="line">
          <a:avLst/>
        </a:prstGeom>
        <a:noFill xmlns:a="http://schemas.openxmlformats.org/drawingml/2006/main"/>
        <a:ln xmlns:a="http://schemas.openxmlformats.org/drawingml/2006/main" w="22225">
          <a:solidFill>
            <a:srgbClr val="000000"/>
          </a:solidFill>
          <a:round/>
          <a:headEnd/>
          <a:tailEnd/>
        </a:ln>
      </cdr:spPr>
      <cdr:txBody>
        <a:bodyPr xmlns:a="http://schemas.openxmlformats.org/drawingml/2006/main"/>
        <a:lstStyle xmlns:a="http://schemas.openxmlformats.org/drawingml/2006/main"/>
        <a:p xmlns:a="http://schemas.openxmlformats.org/drawingml/2006/main">
          <a:endParaRPr lang="es-PE"/>
        </a:p>
      </cdr:txBody>
    </cdr:sp>
  </cdr:relSizeAnchor>
  <cdr:relSizeAnchor xmlns:cdr="http://schemas.openxmlformats.org/drawingml/2006/chartDrawing">
    <cdr:from>
      <cdr:x>0.26455</cdr:x>
      <cdr:y>0.6132</cdr:y>
    </cdr:from>
    <cdr:to>
      <cdr:x>0.31665</cdr:x>
      <cdr:y>0.64512</cdr:y>
    </cdr:to>
    <cdr:sp macro="" textlink="">
      <cdr:nvSpPr>
        <cdr:cNvPr id="3078" name="Text Box 6"/>
        <cdr:cNvSpPr txBox="1">
          <a:spLocks xmlns:a="http://schemas.openxmlformats.org/drawingml/2006/main" noChangeArrowheads="1"/>
        </cdr:cNvSpPr>
      </cdr:nvSpPr>
      <cdr:spPr bwMode="auto">
        <a:xfrm xmlns:a="http://schemas.openxmlformats.org/drawingml/2006/main">
          <a:off x="1960411" y="3276650"/>
          <a:ext cx="386131" cy="17056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wrap="none" lIns="18288" tIns="22860" rIns="18288" bIns="0" anchor="t" upright="1">
          <a:spAutoFit/>
        </a:bodyPr>
        <a:lstStyle xmlns:a="http://schemas.openxmlformats.org/drawingml/2006/main"/>
        <a:p xmlns:a="http://schemas.openxmlformats.org/drawingml/2006/main">
          <a:pPr algn="ctr" rtl="0">
            <a:defRPr sz="1000"/>
          </a:pPr>
          <a:r>
            <a:rPr lang="es-PE" sz="1000" b="1" i="0" strike="noStrike">
              <a:solidFill>
                <a:srgbClr val="000000"/>
              </a:solidFill>
              <a:latin typeface="Arial"/>
              <a:cs typeface="Arial"/>
            </a:rPr>
            <a:t> A - 6 </a:t>
          </a:r>
        </a:p>
      </cdr:txBody>
    </cdr:sp>
  </cdr:relSizeAnchor>
  <cdr:relSizeAnchor xmlns:cdr="http://schemas.openxmlformats.org/drawingml/2006/chartDrawing">
    <cdr:from>
      <cdr:x>0.34193</cdr:x>
      <cdr:y>0.68073</cdr:y>
    </cdr:from>
    <cdr:to>
      <cdr:x>0.42386</cdr:x>
      <cdr:y>0.71265</cdr:y>
    </cdr:to>
    <cdr:sp macro="" textlink="">
      <cdr:nvSpPr>
        <cdr:cNvPr id="3079" name="Text Box 7"/>
        <cdr:cNvSpPr txBox="1">
          <a:spLocks xmlns:a="http://schemas.openxmlformats.org/drawingml/2006/main" noChangeArrowheads="1"/>
        </cdr:cNvSpPr>
      </cdr:nvSpPr>
      <cdr:spPr bwMode="auto">
        <a:xfrm xmlns:a="http://schemas.openxmlformats.org/drawingml/2006/main">
          <a:off x="2533880" y="3637498"/>
          <a:ext cx="607089" cy="17056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wrap="none" lIns="18288" tIns="22860" rIns="18288" bIns="0" anchor="t" upright="1">
          <a:spAutoFit/>
        </a:bodyPr>
        <a:lstStyle xmlns:a="http://schemas.openxmlformats.org/drawingml/2006/main"/>
        <a:p xmlns:a="http://schemas.openxmlformats.org/drawingml/2006/main">
          <a:pPr algn="ctr" rtl="0">
            <a:defRPr sz="1000"/>
          </a:pPr>
          <a:r>
            <a:rPr lang="es-PE" sz="1000" b="1" i="0" strike="noStrike">
              <a:solidFill>
                <a:srgbClr val="000000"/>
              </a:solidFill>
              <a:latin typeface="Arial"/>
              <a:cs typeface="Arial"/>
            </a:rPr>
            <a:t> A - 2  - 6 </a:t>
          </a:r>
        </a:p>
      </cdr:txBody>
    </cdr:sp>
  </cdr:relSizeAnchor>
  <cdr:relSizeAnchor xmlns:cdr="http://schemas.openxmlformats.org/drawingml/2006/chartDrawing">
    <cdr:from>
      <cdr:x>0.35137</cdr:x>
      <cdr:y>0.79368</cdr:y>
    </cdr:from>
    <cdr:to>
      <cdr:x>0.42849</cdr:x>
      <cdr:y>0.8256</cdr:y>
    </cdr:to>
    <cdr:sp macro="" textlink="">
      <cdr:nvSpPr>
        <cdr:cNvPr id="3080" name="Text Box 8"/>
        <cdr:cNvSpPr txBox="1">
          <a:spLocks xmlns:a="http://schemas.openxmlformats.org/drawingml/2006/main" noChangeArrowheads="1"/>
        </cdr:cNvSpPr>
      </cdr:nvSpPr>
      <cdr:spPr bwMode="auto">
        <a:xfrm xmlns:a="http://schemas.openxmlformats.org/drawingml/2006/main">
          <a:off x="2603837" y="4241049"/>
          <a:ext cx="571438" cy="17056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wrap="none" lIns="18288" tIns="22860" rIns="18288" bIns="0" anchor="t" upright="1">
          <a:spAutoFit/>
        </a:bodyPr>
        <a:lstStyle xmlns:a="http://schemas.openxmlformats.org/drawingml/2006/main"/>
        <a:p xmlns:a="http://schemas.openxmlformats.org/drawingml/2006/main">
          <a:pPr algn="ctr" rtl="0">
            <a:defRPr sz="1000"/>
          </a:pPr>
          <a:r>
            <a:rPr lang="es-PE" sz="1000" b="1" i="0" strike="noStrike">
              <a:solidFill>
                <a:srgbClr val="000000"/>
              </a:solidFill>
              <a:latin typeface="Arial"/>
              <a:cs typeface="Arial"/>
            </a:rPr>
            <a:t> A - 2 - 4 </a:t>
          </a:r>
        </a:p>
      </cdr:txBody>
    </cdr:sp>
  </cdr:relSizeAnchor>
  <cdr:relSizeAnchor xmlns:cdr="http://schemas.openxmlformats.org/drawingml/2006/chartDrawing">
    <cdr:from>
      <cdr:x>0.27343</cdr:x>
      <cdr:y>0.77428</cdr:y>
    </cdr:from>
    <cdr:to>
      <cdr:x>0.32553</cdr:x>
      <cdr:y>0.8062</cdr:y>
    </cdr:to>
    <cdr:sp macro="" textlink="">
      <cdr:nvSpPr>
        <cdr:cNvPr id="3081" name="Text Box 9"/>
        <cdr:cNvSpPr txBox="1">
          <a:spLocks xmlns:a="http://schemas.openxmlformats.org/drawingml/2006/main" noChangeArrowheads="1"/>
        </cdr:cNvSpPr>
      </cdr:nvSpPr>
      <cdr:spPr bwMode="auto">
        <a:xfrm xmlns:a="http://schemas.openxmlformats.org/drawingml/2006/main">
          <a:off x="2026216" y="4137385"/>
          <a:ext cx="386131" cy="17056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wrap="none" lIns="18288" tIns="22860" rIns="18288" bIns="0" anchor="t" upright="1">
          <a:spAutoFit/>
        </a:bodyPr>
        <a:lstStyle xmlns:a="http://schemas.openxmlformats.org/drawingml/2006/main"/>
        <a:p xmlns:a="http://schemas.openxmlformats.org/drawingml/2006/main">
          <a:pPr algn="ctr" rtl="0">
            <a:defRPr sz="1000"/>
          </a:pPr>
          <a:r>
            <a:rPr lang="es-PE" sz="1000" b="1" i="0" strike="noStrike">
              <a:solidFill>
                <a:srgbClr val="000000"/>
              </a:solidFill>
              <a:latin typeface="Arial"/>
              <a:cs typeface="Arial"/>
            </a:rPr>
            <a:t> A - 4 </a:t>
          </a:r>
        </a:p>
      </cdr:txBody>
    </cdr:sp>
  </cdr:relSizeAnchor>
  <cdr:relSizeAnchor xmlns:cdr="http://schemas.openxmlformats.org/drawingml/2006/chartDrawing">
    <cdr:from>
      <cdr:x>0.49723</cdr:x>
      <cdr:y>0.50909</cdr:y>
    </cdr:from>
    <cdr:to>
      <cdr:x>0.57434</cdr:x>
      <cdr:y>0.54101</cdr:y>
    </cdr:to>
    <cdr:sp macro="" textlink="">
      <cdr:nvSpPr>
        <cdr:cNvPr id="3082" name="Text Box 10"/>
        <cdr:cNvSpPr txBox="1">
          <a:spLocks xmlns:a="http://schemas.openxmlformats.org/drawingml/2006/main" noChangeArrowheads="1"/>
        </cdr:cNvSpPr>
      </cdr:nvSpPr>
      <cdr:spPr bwMode="auto">
        <a:xfrm xmlns:a="http://schemas.openxmlformats.org/drawingml/2006/main">
          <a:off x="3684688" y="2720335"/>
          <a:ext cx="571438" cy="17056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wrap="none" lIns="18288" tIns="22860" rIns="18288" bIns="0" anchor="t" upright="1">
          <a:spAutoFit/>
        </a:bodyPr>
        <a:lstStyle xmlns:a="http://schemas.openxmlformats.org/drawingml/2006/main"/>
        <a:p xmlns:a="http://schemas.openxmlformats.org/drawingml/2006/main">
          <a:pPr algn="ctr" rtl="0">
            <a:defRPr sz="1000"/>
          </a:pPr>
          <a:r>
            <a:rPr lang="es-PE" sz="1000" b="1" i="0" strike="noStrike">
              <a:solidFill>
                <a:srgbClr val="000000"/>
              </a:solidFill>
              <a:latin typeface="Arial"/>
              <a:cs typeface="Arial"/>
            </a:rPr>
            <a:t> A - 7 - 6 </a:t>
          </a:r>
        </a:p>
      </cdr:txBody>
    </cdr:sp>
  </cdr:relSizeAnchor>
  <cdr:relSizeAnchor xmlns:cdr="http://schemas.openxmlformats.org/drawingml/2006/chartDrawing">
    <cdr:from>
      <cdr:x>0.52522</cdr:x>
      <cdr:y>0.77428</cdr:y>
    </cdr:from>
    <cdr:to>
      <cdr:x>0.58214</cdr:x>
      <cdr:y>0.8062</cdr:y>
    </cdr:to>
    <cdr:sp macro="" textlink="">
      <cdr:nvSpPr>
        <cdr:cNvPr id="3083" name="Text Box 11"/>
        <cdr:cNvSpPr txBox="1">
          <a:spLocks xmlns:a="http://schemas.openxmlformats.org/drawingml/2006/main" noChangeArrowheads="1"/>
        </cdr:cNvSpPr>
      </cdr:nvSpPr>
      <cdr:spPr bwMode="auto">
        <a:xfrm xmlns:a="http://schemas.openxmlformats.org/drawingml/2006/main">
          <a:off x="3892127" y="4137385"/>
          <a:ext cx="421782" cy="17056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wrap="none" lIns="18288" tIns="22860" rIns="18288" bIns="0" anchor="t" upright="1">
          <a:spAutoFit/>
        </a:bodyPr>
        <a:lstStyle xmlns:a="http://schemas.openxmlformats.org/drawingml/2006/main"/>
        <a:p xmlns:a="http://schemas.openxmlformats.org/drawingml/2006/main">
          <a:pPr algn="ctr" rtl="0">
            <a:defRPr sz="1000"/>
          </a:pPr>
          <a:r>
            <a:rPr lang="es-PE" sz="1000" b="1" i="0" strike="noStrike">
              <a:solidFill>
                <a:srgbClr val="000000"/>
              </a:solidFill>
              <a:latin typeface="Arial"/>
              <a:cs typeface="Arial"/>
            </a:rPr>
            <a:t> A - 5  </a:t>
          </a:r>
        </a:p>
      </cdr:txBody>
    </cdr:sp>
  </cdr:relSizeAnchor>
  <cdr:relSizeAnchor xmlns:cdr="http://schemas.openxmlformats.org/drawingml/2006/chartDrawing">
    <cdr:from>
      <cdr:x>0.5066</cdr:x>
      <cdr:y>0.69816</cdr:y>
    </cdr:from>
    <cdr:to>
      <cdr:x>0.58372</cdr:x>
      <cdr:y>0.73008</cdr:y>
    </cdr:to>
    <cdr:sp macro="" textlink="">
      <cdr:nvSpPr>
        <cdr:cNvPr id="3085" name="Text Box 13"/>
        <cdr:cNvSpPr txBox="1">
          <a:spLocks xmlns:a="http://schemas.openxmlformats.org/drawingml/2006/main" noChangeArrowheads="1"/>
        </cdr:cNvSpPr>
      </cdr:nvSpPr>
      <cdr:spPr bwMode="auto">
        <a:xfrm xmlns:a="http://schemas.openxmlformats.org/drawingml/2006/main">
          <a:off x="3754161" y="3730635"/>
          <a:ext cx="571438" cy="17056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wrap="none" lIns="18288" tIns="22860" rIns="18288" bIns="0" anchor="t" upright="1">
          <a:spAutoFit/>
        </a:bodyPr>
        <a:lstStyle xmlns:a="http://schemas.openxmlformats.org/drawingml/2006/main"/>
        <a:p xmlns:a="http://schemas.openxmlformats.org/drawingml/2006/main">
          <a:pPr algn="ctr" rtl="0">
            <a:defRPr sz="1000"/>
          </a:pPr>
          <a:r>
            <a:rPr lang="es-PE" sz="1000" b="1" i="0" strike="noStrike">
              <a:solidFill>
                <a:srgbClr val="000000"/>
              </a:solidFill>
              <a:latin typeface="Arial"/>
              <a:cs typeface="Arial"/>
            </a:rPr>
            <a:t> A - 2 - 7 </a:t>
          </a:r>
        </a:p>
      </cdr:txBody>
    </cdr:sp>
  </cdr:relSizeAnchor>
  <cdr:relSizeAnchor xmlns:cdr="http://schemas.openxmlformats.org/drawingml/2006/chartDrawing">
    <cdr:from>
      <cdr:x>0.58903</cdr:x>
      <cdr:y>0.6132</cdr:y>
    </cdr:from>
    <cdr:to>
      <cdr:x>0.66615</cdr:x>
      <cdr:y>0.64512</cdr:y>
    </cdr:to>
    <cdr:sp macro="" textlink="">
      <cdr:nvSpPr>
        <cdr:cNvPr id="3086" name="Text Box 14"/>
        <cdr:cNvSpPr txBox="1">
          <a:spLocks xmlns:a="http://schemas.openxmlformats.org/drawingml/2006/main" noChangeArrowheads="1"/>
        </cdr:cNvSpPr>
      </cdr:nvSpPr>
      <cdr:spPr bwMode="auto">
        <a:xfrm xmlns:a="http://schemas.openxmlformats.org/drawingml/2006/main">
          <a:off x="4365005" y="3276650"/>
          <a:ext cx="571438" cy="17056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wrap="none" lIns="18288" tIns="22860" rIns="18288" bIns="0" anchor="t" upright="1">
          <a:spAutoFit/>
        </a:bodyPr>
        <a:lstStyle xmlns:a="http://schemas.openxmlformats.org/drawingml/2006/main"/>
        <a:p xmlns:a="http://schemas.openxmlformats.org/drawingml/2006/main">
          <a:pPr algn="ctr" rtl="0">
            <a:defRPr sz="1000"/>
          </a:pPr>
          <a:r>
            <a:rPr lang="es-PE" sz="1000" b="1" i="0" strike="noStrike">
              <a:solidFill>
                <a:srgbClr val="000000"/>
              </a:solidFill>
              <a:latin typeface="Arial"/>
              <a:cs typeface="Arial"/>
            </a:rPr>
            <a:t> A - 7 - 5 </a:t>
          </a:r>
        </a:p>
      </cdr:txBody>
    </cdr:sp>
  </cdr:relSizeAnchor>
  <cdr:relSizeAnchor xmlns:cdr="http://schemas.openxmlformats.org/drawingml/2006/chartDrawing">
    <cdr:from>
      <cdr:x>0.61075</cdr:x>
      <cdr:y>0.79368</cdr:y>
    </cdr:from>
    <cdr:to>
      <cdr:x>0.68787</cdr:x>
      <cdr:y>0.8256</cdr:y>
    </cdr:to>
    <cdr:sp macro="" textlink="">
      <cdr:nvSpPr>
        <cdr:cNvPr id="3087" name="Text Box 15"/>
        <cdr:cNvSpPr txBox="1">
          <a:spLocks xmlns:a="http://schemas.openxmlformats.org/drawingml/2006/main" noChangeArrowheads="1"/>
        </cdr:cNvSpPr>
      </cdr:nvSpPr>
      <cdr:spPr bwMode="auto">
        <a:xfrm xmlns:a="http://schemas.openxmlformats.org/drawingml/2006/main">
          <a:off x="4525960" y="4241049"/>
          <a:ext cx="571438" cy="17056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wrap="none" lIns="18288" tIns="22860" rIns="18288" bIns="0" anchor="t" upright="1">
          <a:spAutoFit/>
        </a:bodyPr>
        <a:lstStyle xmlns:a="http://schemas.openxmlformats.org/drawingml/2006/main"/>
        <a:p xmlns:a="http://schemas.openxmlformats.org/drawingml/2006/main">
          <a:pPr algn="ctr" rtl="0">
            <a:defRPr sz="1000"/>
          </a:pPr>
          <a:r>
            <a:rPr lang="es-PE" sz="1000" b="1" i="0" strike="noStrike">
              <a:solidFill>
                <a:srgbClr val="000000"/>
              </a:solidFill>
              <a:latin typeface="Arial"/>
              <a:cs typeface="Arial"/>
            </a:rPr>
            <a:t> A - 2 - 5 </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229722</xdr:colOff>
      <xdr:row>48</xdr:row>
      <xdr:rowOff>41413</xdr:rowOff>
    </xdr:from>
    <xdr:to>
      <xdr:col>11</xdr:col>
      <xdr:colOff>848846</xdr:colOff>
      <xdr:row>75</xdr:row>
      <xdr:rowOff>189939</xdr:rowOff>
    </xdr:to>
    <xdr:graphicFrame macro="">
      <xdr:nvGraphicFramePr>
        <xdr:cNvPr id="2" name="1 Gráfico">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695325</xdr:colOff>
      <xdr:row>4</xdr:row>
      <xdr:rowOff>9525</xdr:rowOff>
    </xdr:from>
    <xdr:to>
      <xdr:col>24</xdr:col>
      <xdr:colOff>314325</xdr:colOff>
      <xdr:row>15</xdr:row>
      <xdr:rowOff>123825</xdr:rowOff>
    </xdr:to>
    <xdr:grpSp>
      <xdr:nvGrpSpPr>
        <xdr:cNvPr id="51" name="Grupo 50">
          <a:extLst>
            <a:ext uri="{FF2B5EF4-FFF2-40B4-BE49-F238E27FC236}">
              <a16:creationId xmlns:a16="http://schemas.microsoft.com/office/drawing/2014/main" id="{00000000-0008-0000-0500-000033000000}"/>
            </a:ext>
          </a:extLst>
        </xdr:cNvPr>
        <xdr:cNvGrpSpPr/>
      </xdr:nvGrpSpPr>
      <xdr:grpSpPr>
        <a:xfrm>
          <a:off x="15729137" y="834278"/>
          <a:ext cx="3384176" cy="2301688"/>
          <a:chOff x="4724400" y="428625"/>
          <a:chExt cx="4476750" cy="3228975"/>
        </a:xfrm>
      </xdr:grpSpPr>
      <xdr:graphicFrame macro="">
        <xdr:nvGraphicFramePr>
          <xdr:cNvPr id="52" name="Chart 16">
            <a:extLst>
              <a:ext uri="{FF2B5EF4-FFF2-40B4-BE49-F238E27FC236}">
                <a16:creationId xmlns:a16="http://schemas.microsoft.com/office/drawing/2014/main" id="{00000000-0008-0000-0500-000034000000}"/>
              </a:ext>
            </a:extLst>
          </xdr:cNvPr>
          <xdr:cNvGraphicFramePr>
            <a:graphicFrameLocks/>
          </xdr:cNvGraphicFramePr>
        </xdr:nvGraphicFramePr>
        <xdr:xfrm>
          <a:off x="4724400" y="428625"/>
          <a:ext cx="4476750" cy="322897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3" name="Text Box 17">
            <a:extLst>
              <a:ext uri="{FF2B5EF4-FFF2-40B4-BE49-F238E27FC236}">
                <a16:creationId xmlns:a16="http://schemas.microsoft.com/office/drawing/2014/main" id="{00000000-0008-0000-0500-000035000000}"/>
              </a:ext>
            </a:extLst>
          </xdr:cNvPr>
          <xdr:cNvSpPr txBox="1">
            <a:spLocks noChangeArrowheads="1"/>
          </xdr:cNvSpPr>
        </xdr:nvSpPr>
        <xdr:spPr bwMode="auto">
          <a:xfrm>
            <a:off x="6086475" y="2148129"/>
            <a:ext cx="285750" cy="303012"/>
          </a:xfrm>
          <a:prstGeom prst="rect">
            <a:avLst/>
          </a:prstGeom>
          <a:noFill/>
          <a:ln w="9525">
            <a:noFill/>
            <a:miter lim="800000"/>
            <a:headEnd/>
            <a:tailEnd/>
          </a:ln>
        </xdr:spPr>
        <xdr:txBody>
          <a:bodyPr wrap="none" lIns="18288" tIns="22860" rIns="0" bIns="0" anchor="t" upright="1">
            <a:noAutofit/>
          </a:bodyPr>
          <a:lstStyle/>
          <a:p>
            <a:pPr algn="l" rtl="0">
              <a:defRPr sz="1000"/>
            </a:pPr>
            <a:r>
              <a:rPr lang="es-ES" sz="700" b="0" i="0" strike="noStrike">
                <a:solidFill>
                  <a:srgbClr val="000000"/>
                </a:solidFill>
                <a:latin typeface="Arial"/>
                <a:cs typeface="Arial"/>
              </a:rPr>
              <a:t>A-6</a:t>
            </a:r>
          </a:p>
          <a:p>
            <a:pPr algn="l" rtl="0">
              <a:defRPr sz="1000"/>
            </a:pPr>
            <a:r>
              <a:rPr lang="es-ES" sz="700" b="0" i="0" strike="noStrike">
                <a:solidFill>
                  <a:srgbClr val="000000"/>
                </a:solidFill>
                <a:latin typeface="Arial"/>
                <a:cs typeface="Arial"/>
              </a:rPr>
              <a:t>A-2-6</a:t>
            </a:r>
          </a:p>
        </xdr:txBody>
      </xdr:sp>
      <xdr:sp macro="" textlink="">
        <xdr:nvSpPr>
          <xdr:cNvPr id="54" name="Text Box 18">
            <a:extLst>
              <a:ext uri="{FF2B5EF4-FFF2-40B4-BE49-F238E27FC236}">
                <a16:creationId xmlns:a16="http://schemas.microsoft.com/office/drawing/2014/main" id="{00000000-0008-0000-0500-000036000000}"/>
              </a:ext>
            </a:extLst>
          </xdr:cNvPr>
          <xdr:cNvSpPr txBox="1">
            <a:spLocks noChangeArrowheads="1"/>
          </xdr:cNvSpPr>
        </xdr:nvSpPr>
        <xdr:spPr bwMode="auto">
          <a:xfrm>
            <a:off x="6086475" y="2766930"/>
            <a:ext cx="285750" cy="303012"/>
          </a:xfrm>
          <a:prstGeom prst="rect">
            <a:avLst/>
          </a:prstGeom>
          <a:noFill/>
          <a:ln w="9525">
            <a:noFill/>
            <a:miter lim="800000"/>
            <a:headEnd/>
            <a:tailEnd/>
          </a:ln>
        </xdr:spPr>
        <xdr:txBody>
          <a:bodyPr wrap="none" lIns="18288" tIns="22860" rIns="0" bIns="0" anchor="t" upright="1">
            <a:noAutofit/>
          </a:bodyPr>
          <a:lstStyle/>
          <a:p>
            <a:pPr algn="l" rtl="0">
              <a:defRPr sz="1000"/>
            </a:pPr>
            <a:r>
              <a:rPr lang="es-ES" sz="700" b="0" i="0" strike="noStrike">
                <a:solidFill>
                  <a:srgbClr val="000000"/>
                </a:solidFill>
                <a:latin typeface="Arial"/>
                <a:cs typeface="Arial"/>
              </a:rPr>
              <a:t>A-4</a:t>
            </a:r>
          </a:p>
          <a:p>
            <a:pPr algn="l" rtl="0">
              <a:defRPr sz="1000"/>
            </a:pPr>
            <a:r>
              <a:rPr lang="es-ES" sz="700" b="0" i="0" strike="noStrike">
                <a:solidFill>
                  <a:srgbClr val="000000"/>
                </a:solidFill>
                <a:latin typeface="Arial"/>
                <a:cs typeface="Arial"/>
              </a:rPr>
              <a:t>A-2-4</a:t>
            </a:r>
          </a:p>
        </xdr:txBody>
      </xdr:sp>
      <xdr:sp macro="" textlink="">
        <xdr:nvSpPr>
          <xdr:cNvPr id="55" name="Text Box 19">
            <a:extLst>
              <a:ext uri="{FF2B5EF4-FFF2-40B4-BE49-F238E27FC236}">
                <a16:creationId xmlns:a16="http://schemas.microsoft.com/office/drawing/2014/main" id="{00000000-0008-0000-0500-000037000000}"/>
              </a:ext>
            </a:extLst>
          </xdr:cNvPr>
          <xdr:cNvSpPr txBox="1">
            <a:spLocks noChangeArrowheads="1"/>
          </xdr:cNvSpPr>
        </xdr:nvSpPr>
        <xdr:spPr bwMode="auto">
          <a:xfrm>
            <a:off x="7181850" y="1581696"/>
            <a:ext cx="285750" cy="160975"/>
          </a:xfrm>
          <a:prstGeom prst="rect">
            <a:avLst/>
          </a:prstGeom>
          <a:noFill/>
          <a:ln w="9525">
            <a:noFill/>
            <a:miter lim="800000"/>
            <a:headEnd/>
            <a:tailEnd/>
          </a:ln>
        </xdr:spPr>
        <xdr:txBody>
          <a:bodyPr wrap="none" lIns="18288" tIns="22860" rIns="0" bIns="0" anchor="t" upright="1">
            <a:noAutofit/>
          </a:bodyPr>
          <a:lstStyle/>
          <a:p>
            <a:pPr algn="l" rtl="0">
              <a:defRPr sz="1000"/>
            </a:pPr>
            <a:r>
              <a:rPr lang="es-ES" sz="700" b="0" i="0" strike="noStrike">
                <a:solidFill>
                  <a:srgbClr val="000000"/>
                </a:solidFill>
                <a:latin typeface="Arial"/>
                <a:cs typeface="Arial"/>
              </a:rPr>
              <a:t>A-7-6</a:t>
            </a:r>
          </a:p>
        </xdr:txBody>
      </xdr:sp>
      <xdr:sp macro="" textlink="">
        <xdr:nvSpPr>
          <xdr:cNvPr id="56" name="Text Box 20">
            <a:extLst>
              <a:ext uri="{FF2B5EF4-FFF2-40B4-BE49-F238E27FC236}">
                <a16:creationId xmlns:a16="http://schemas.microsoft.com/office/drawing/2014/main" id="{00000000-0008-0000-0500-000038000000}"/>
              </a:ext>
            </a:extLst>
          </xdr:cNvPr>
          <xdr:cNvSpPr txBox="1">
            <a:spLocks noChangeArrowheads="1"/>
          </xdr:cNvSpPr>
        </xdr:nvSpPr>
        <xdr:spPr bwMode="auto">
          <a:xfrm>
            <a:off x="7181850" y="2766930"/>
            <a:ext cx="285750" cy="303012"/>
          </a:xfrm>
          <a:prstGeom prst="rect">
            <a:avLst/>
          </a:prstGeom>
          <a:noFill/>
          <a:ln w="9525">
            <a:noFill/>
            <a:miter lim="800000"/>
            <a:headEnd/>
            <a:tailEnd/>
          </a:ln>
        </xdr:spPr>
        <xdr:txBody>
          <a:bodyPr wrap="none" lIns="18288" tIns="22860" rIns="0" bIns="0" anchor="t" upright="1">
            <a:noAutofit/>
          </a:bodyPr>
          <a:lstStyle/>
          <a:p>
            <a:pPr algn="l" rtl="0">
              <a:defRPr sz="1000"/>
            </a:pPr>
            <a:r>
              <a:rPr lang="es-ES" sz="700" b="0" i="0" strike="noStrike">
                <a:solidFill>
                  <a:srgbClr val="000000"/>
                </a:solidFill>
                <a:latin typeface="Arial"/>
                <a:cs typeface="Arial"/>
              </a:rPr>
              <a:t>A-5</a:t>
            </a:r>
          </a:p>
          <a:p>
            <a:pPr algn="l" rtl="0">
              <a:defRPr sz="1000"/>
            </a:pPr>
            <a:r>
              <a:rPr lang="es-ES" sz="700" b="0" i="0" strike="noStrike">
                <a:solidFill>
                  <a:srgbClr val="000000"/>
                </a:solidFill>
                <a:latin typeface="Arial"/>
                <a:cs typeface="Arial"/>
              </a:rPr>
              <a:t>A-2-5</a:t>
            </a:r>
          </a:p>
        </xdr:txBody>
      </xdr:sp>
      <xdr:sp macro="" textlink="">
        <xdr:nvSpPr>
          <xdr:cNvPr id="57" name="Text Box 21">
            <a:extLst>
              <a:ext uri="{FF2B5EF4-FFF2-40B4-BE49-F238E27FC236}">
                <a16:creationId xmlns:a16="http://schemas.microsoft.com/office/drawing/2014/main" id="{00000000-0008-0000-0500-000039000000}"/>
              </a:ext>
            </a:extLst>
          </xdr:cNvPr>
          <xdr:cNvSpPr txBox="1">
            <a:spLocks noChangeArrowheads="1"/>
          </xdr:cNvSpPr>
        </xdr:nvSpPr>
        <xdr:spPr bwMode="auto">
          <a:xfrm>
            <a:off x="7896226" y="2148129"/>
            <a:ext cx="285750" cy="303012"/>
          </a:xfrm>
          <a:prstGeom prst="rect">
            <a:avLst/>
          </a:prstGeom>
          <a:noFill/>
          <a:ln w="9525">
            <a:noFill/>
            <a:miter lim="800000"/>
            <a:headEnd/>
            <a:tailEnd/>
          </a:ln>
        </xdr:spPr>
        <xdr:txBody>
          <a:bodyPr wrap="none" lIns="18288" tIns="22860" rIns="0" bIns="0" anchor="t" upright="1">
            <a:noAutofit/>
          </a:bodyPr>
          <a:lstStyle/>
          <a:p>
            <a:pPr algn="l" rtl="0">
              <a:defRPr sz="1000"/>
            </a:pPr>
            <a:r>
              <a:rPr lang="es-ES" sz="700" b="0" i="0" strike="noStrike">
                <a:solidFill>
                  <a:srgbClr val="000000"/>
                </a:solidFill>
                <a:latin typeface="Arial"/>
                <a:cs typeface="Arial"/>
              </a:rPr>
              <a:t>A-7-5</a:t>
            </a:r>
          </a:p>
          <a:p>
            <a:pPr algn="l" rtl="0">
              <a:defRPr sz="1000"/>
            </a:pPr>
            <a:r>
              <a:rPr lang="es-ES" sz="700" b="0" i="0" strike="noStrike">
                <a:solidFill>
                  <a:srgbClr val="000000"/>
                </a:solidFill>
                <a:latin typeface="Arial"/>
                <a:cs typeface="Arial"/>
              </a:rPr>
              <a:t>A-2-7</a:t>
            </a:r>
          </a:p>
        </xdr:txBody>
      </xdr:sp>
    </xdr:grpSp>
    <xdr:clientData/>
  </xdr:twoCellAnchor>
  <xdr:twoCellAnchor>
    <xdr:from>
      <xdr:col>14</xdr:col>
      <xdr:colOff>0</xdr:colOff>
      <xdr:row>4</xdr:row>
      <xdr:rowOff>9525</xdr:rowOff>
    </xdr:from>
    <xdr:to>
      <xdr:col>19</xdr:col>
      <xdr:colOff>342900</xdr:colOff>
      <xdr:row>15</xdr:row>
      <xdr:rowOff>123825</xdr:rowOff>
    </xdr:to>
    <xdr:grpSp>
      <xdr:nvGrpSpPr>
        <xdr:cNvPr id="3" name="Grupo 2">
          <a:extLst>
            <a:ext uri="{FF2B5EF4-FFF2-40B4-BE49-F238E27FC236}">
              <a16:creationId xmlns:a16="http://schemas.microsoft.com/office/drawing/2014/main" id="{00000000-0008-0000-0500-000003000000}"/>
            </a:ext>
          </a:extLst>
        </xdr:cNvPr>
        <xdr:cNvGrpSpPr/>
      </xdr:nvGrpSpPr>
      <xdr:grpSpPr>
        <a:xfrm>
          <a:off x="11367247" y="834278"/>
          <a:ext cx="4009465" cy="2301688"/>
          <a:chOff x="10610850" y="2514600"/>
          <a:chExt cx="4457700" cy="3305175"/>
        </a:xfrm>
      </xdr:grpSpPr>
      <xdr:graphicFrame macro="">
        <xdr:nvGraphicFramePr>
          <xdr:cNvPr id="35" name="Chart 3">
            <a:extLst>
              <a:ext uri="{FF2B5EF4-FFF2-40B4-BE49-F238E27FC236}">
                <a16:creationId xmlns:a16="http://schemas.microsoft.com/office/drawing/2014/main" id="{00000000-0008-0000-0500-000023000000}"/>
              </a:ext>
            </a:extLst>
          </xdr:cNvPr>
          <xdr:cNvGraphicFramePr>
            <a:graphicFrameLocks/>
          </xdr:cNvGraphicFramePr>
        </xdr:nvGraphicFramePr>
        <xdr:xfrm>
          <a:off x="10610850" y="2514600"/>
          <a:ext cx="4457700" cy="330517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Text Box 4">
            <a:extLst>
              <a:ext uri="{FF2B5EF4-FFF2-40B4-BE49-F238E27FC236}">
                <a16:creationId xmlns:a16="http://schemas.microsoft.com/office/drawing/2014/main" id="{00000000-0008-0000-0500-000024000000}"/>
              </a:ext>
            </a:extLst>
          </xdr:cNvPr>
          <xdr:cNvSpPr txBox="1">
            <a:spLocks noChangeArrowheads="1"/>
          </xdr:cNvSpPr>
        </xdr:nvSpPr>
        <xdr:spPr bwMode="auto">
          <a:xfrm>
            <a:off x="13757347" y="4609357"/>
            <a:ext cx="388037" cy="123825"/>
          </a:xfrm>
          <a:prstGeom prst="rect">
            <a:avLst/>
          </a:prstGeom>
          <a:noFill/>
          <a:ln w="9525">
            <a:noFill/>
            <a:miter lim="800000"/>
            <a:headEnd/>
            <a:tailEnd/>
          </a:ln>
        </xdr:spPr>
        <xdr:txBody>
          <a:bodyPr wrap="none" lIns="18288" tIns="22860" rIns="0" bIns="0" anchor="t" upright="1">
            <a:noAutofit/>
          </a:bodyPr>
          <a:lstStyle/>
          <a:p>
            <a:pPr algn="l" rtl="0">
              <a:defRPr sz="1000"/>
            </a:pPr>
            <a:r>
              <a:rPr lang="es-ES" sz="800" b="0" i="0" strike="noStrike">
                <a:solidFill>
                  <a:srgbClr val="000000"/>
                </a:solidFill>
                <a:latin typeface="Arial"/>
                <a:cs typeface="Arial"/>
              </a:rPr>
              <a:t>OH ó MH</a:t>
            </a:r>
          </a:p>
        </xdr:txBody>
      </xdr:sp>
      <xdr:sp macro="" textlink="">
        <xdr:nvSpPr>
          <xdr:cNvPr id="37" name="Text Box 5">
            <a:extLst>
              <a:ext uri="{FF2B5EF4-FFF2-40B4-BE49-F238E27FC236}">
                <a16:creationId xmlns:a16="http://schemas.microsoft.com/office/drawing/2014/main" id="{00000000-0008-0000-0500-000025000000}"/>
              </a:ext>
            </a:extLst>
          </xdr:cNvPr>
          <xdr:cNvSpPr txBox="1">
            <a:spLocks noChangeArrowheads="1"/>
          </xdr:cNvSpPr>
        </xdr:nvSpPr>
        <xdr:spPr bwMode="auto">
          <a:xfrm>
            <a:off x="13430265" y="3390933"/>
            <a:ext cx="151430" cy="123825"/>
          </a:xfrm>
          <a:prstGeom prst="rect">
            <a:avLst/>
          </a:prstGeom>
          <a:noFill/>
          <a:ln w="9525">
            <a:noFill/>
            <a:miter lim="800000"/>
            <a:headEnd/>
            <a:tailEnd/>
          </a:ln>
        </xdr:spPr>
        <xdr:txBody>
          <a:bodyPr wrap="none" lIns="18288" tIns="22860" rIns="0" bIns="0" anchor="t" upright="1">
            <a:noAutofit/>
          </a:bodyPr>
          <a:lstStyle/>
          <a:p>
            <a:pPr algn="l" rtl="0">
              <a:defRPr sz="1000"/>
            </a:pPr>
            <a:r>
              <a:rPr lang="es-ES" sz="800" b="0" i="0" strike="noStrike">
                <a:solidFill>
                  <a:srgbClr val="000000"/>
                </a:solidFill>
                <a:latin typeface="Arial"/>
                <a:cs typeface="Arial"/>
              </a:rPr>
              <a:t>CH</a:t>
            </a:r>
          </a:p>
        </xdr:txBody>
      </xdr:sp>
      <xdr:sp macro="" textlink="">
        <xdr:nvSpPr>
          <xdr:cNvPr id="38" name="Text Box 6">
            <a:extLst>
              <a:ext uri="{FF2B5EF4-FFF2-40B4-BE49-F238E27FC236}">
                <a16:creationId xmlns:a16="http://schemas.microsoft.com/office/drawing/2014/main" id="{00000000-0008-0000-0500-000026000000}"/>
              </a:ext>
            </a:extLst>
          </xdr:cNvPr>
          <xdr:cNvSpPr txBox="1">
            <a:spLocks noChangeArrowheads="1"/>
          </xdr:cNvSpPr>
        </xdr:nvSpPr>
        <xdr:spPr bwMode="auto">
          <a:xfrm>
            <a:off x="12209366" y="3919573"/>
            <a:ext cx="132501" cy="123825"/>
          </a:xfrm>
          <a:prstGeom prst="rect">
            <a:avLst/>
          </a:prstGeom>
          <a:noFill/>
          <a:ln w="9525">
            <a:noFill/>
            <a:miter lim="800000"/>
            <a:headEnd/>
            <a:tailEnd/>
          </a:ln>
        </xdr:spPr>
        <xdr:txBody>
          <a:bodyPr wrap="none" lIns="18288" tIns="22860" rIns="0" bIns="0" anchor="t" upright="1">
            <a:noAutofit/>
          </a:bodyPr>
          <a:lstStyle/>
          <a:p>
            <a:pPr algn="l" rtl="0">
              <a:defRPr sz="1000"/>
            </a:pPr>
            <a:r>
              <a:rPr lang="es-ES" sz="800" b="0" i="0" strike="noStrike">
                <a:solidFill>
                  <a:srgbClr val="000000"/>
                </a:solidFill>
                <a:latin typeface="Arial"/>
                <a:cs typeface="Arial"/>
              </a:rPr>
              <a:t>CL</a:t>
            </a:r>
          </a:p>
        </xdr:txBody>
      </xdr:sp>
      <xdr:sp macro="" textlink="">
        <xdr:nvSpPr>
          <xdr:cNvPr id="39" name="Text Box 7">
            <a:extLst>
              <a:ext uri="{FF2B5EF4-FFF2-40B4-BE49-F238E27FC236}">
                <a16:creationId xmlns:a16="http://schemas.microsoft.com/office/drawing/2014/main" id="{00000000-0008-0000-0500-000027000000}"/>
              </a:ext>
            </a:extLst>
          </xdr:cNvPr>
          <xdr:cNvSpPr txBox="1">
            <a:spLocks noChangeArrowheads="1"/>
          </xdr:cNvSpPr>
        </xdr:nvSpPr>
        <xdr:spPr bwMode="auto">
          <a:xfrm>
            <a:off x="12364007" y="4990085"/>
            <a:ext cx="359645" cy="123825"/>
          </a:xfrm>
          <a:prstGeom prst="rect">
            <a:avLst/>
          </a:prstGeom>
          <a:noFill/>
          <a:ln w="9525">
            <a:noFill/>
            <a:miter lim="800000"/>
            <a:headEnd/>
            <a:tailEnd/>
          </a:ln>
        </xdr:spPr>
        <xdr:txBody>
          <a:bodyPr wrap="none" lIns="18288" tIns="22860" rIns="0" bIns="0" anchor="t" upright="1">
            <a:noAutofit/>
          </a:bodyPr>
          <a:lstStyle/>
          <a:p>
            <a:pPr algn="l" rtl="0">
              <a:defRPr sz="1000"/>
            </a:pPr>
            <a:r>
              <a:rPr lang="es-ES" sz="800" b="0" i="0" strike="noStrike">
                <a:solidFill>
                  <a:srgbClr val="000000"/>
                </a:solidFill>
                <a:latin typeface="Arial"/>
                <a:cs typeface="Arial"/>
              </a:rPr>
              <a:t>ML ú OL</a:t>
            </a:r>
          </a:p>
        </xdr:txBody>
      </xdr:sp>
      <xdr:sp macro="" textlink="">
        <xdr:nvSpPr>
          <xdr:cNvPr id="40" name="Text Box 8">
            <a:extLst>
              <a:ext uri="{FF2B5EF4-FFF2-40B4-BE49-F238E27FC236}">
                <a16:creationId xmlns:a16="http://schemas.microsoft.com/office/drawing/2014/main" id="{00000000-0008-0000-0500-000028000000}"/>
              </a:ext>
            </a:extLst>
          </xdr:cNvPr>
          <xdr:cNvSpPr txBox="1">
            <a:spLocks noChangeArrowheads="1"/>
          </xdr:cNvSpPr>
        </xdr:nvSpPr>
        <xdr:spPr bwMode="auto">
          <a:xfrm>
            <a:off x="11644718" y="5013352"/>
            <a:ext cx="293394" cy="123825"/>
          </a:xfrm>
          <a:prstGeom prst="rect">
            <a:avLst/>
          </a:prstGeom>
          <a:noFill/>
          <a:ln w="9525">
            <a:noFill/>
            <a:miter lim="800000"/>
            <a:headEnd/>
            <a:tailEnd/>
          </a:ln>
        </xdr:spPr>
        <xdr:txBody>
          <a:bodyPr wrap="none" lIns="18288" tIns="18288" rIns="0" bIns="0" anchor="t" upright="1">
            <a:noAutofit/>
          </a:bodyPr>
          <a:lstStyle/>
          <a:p>
            <a:pPr algn="l" rtl="0">
              <a:defRPr sz="1000"/>
            </a:pPr>
            <a:r>
              <a:rPr lang="es-ES" sz="600" b="0" i="0" strike="noStrike">
                <a:solidFill>
                  <a:srgbClr val="000000"/>
                </a:solidFill>
                <a:latin typeface="Arial"/>
                <a:cs typeface="Arial"/>
              </a:rPr>
              <a:t>CL - ML</a:t>
            </a:r>
          </a:p>
        </xdr:txBody>
      </xdr:sp>
      <xdr:sp macro="" textlink="">
        <xdr:nvSpPr>
          <xdr:cNvPr id="41" name="Text Box 9">
            <a:extLst>
              <a:ext uri="{FF2B5EF4-FFF2-40B4-BE49-F238E27FC236}">
                <a16:creationId xmlns:a16="http://schemas.microsoft.com/office/drawing/2014/main" id="{00000000-0008-0000-0500-000029000000}"/>
              </a:ext>
            </a:extLst>
          </xdr:cNvPr>
          <xdr:cNvSpPr txBox="1">
            <a:spLocks noChangeArrowheads="1"/>
          </xdr:cNvSpPr>
        </xdr:nvSpPr>
        <xdr:spPr bwMode="auto">
          <a:xfrm>
            <a:off x="11550074" y="5121486"/>
            <a:ext cx="141965" cy="123825"/>
          </a:xfrm>
          <a:prstGeom prst="rect">
            <a:avLst/>
          </a:prstGeom>
          <a:noFill/>
          <a:ln w="9525">
            <a:noFill/>
            <a:miter lim="800000"/>
            <a:headEnd/>
            <a:tailEnd/>
          </a:ln>
        </xdr:spPr>
        <xdr:txBody>
          <a:bodyPr wrap="none" lIns="18288" tIns="22860" rIns="0" bIns="0" anchor="t" upright="1">
            <a:noAutofit/>
          </a:bodyPr>
          <a:lstStyle/>
          <a:p>
            <a:pPr algn="l" rtl="0">
              <a:defRPr sz="1000"/>
            </a:pPr>
            <a:r>
              <a:rPr lang="es-ES" sz="800" b="0" i="0" strike="noStrike">
                <a:solidFill>
                  <a:srgbClr val="000000"/>
                </a:solidFill>
                <a:latin typeface="Arial"/>
                <a:cs typeface="Arial"/>
              </a:rPr>
              <a:t>ML</a:t>
            </a:r>
          </a:p>
        </xdr:txBody>
      </xdr:sp>
      <xdr:sp macro="" textlink="">
        <xdr:nvSpPr>
          <xdr:cNvPr id="42" name="Text Box 10">
            <a:extLst>
              <a:ext uri="{FF2B5EF4-FFF2-40B4-BE49-F238E27FC236}">
                <a16:creationId xmlns:a16="http://schemas.microsoft.com/office/drawing/2014/main" id="{00000000-0008-0000-0500-00002A000000}"/>
              </a:ext>
            </a:extLst>
          </xdr:cNvPr>
          <xdr:cNvSpPr txBox="1">
            <a:spLocks noChangeArrowheads="1"/>
          </xdr:cNvSpPr>
        </xdr:nvSpPr>
        <xdr:spPr bwMode="auto">
          <a:xfrm>
            <a:off x="14131581" y="3534357"/>
            <a:ext cx="388037" cy="142875"/>
          </a:xfrm>
          <a:prstGeom prst="rect">
            <a:avLst/>
          </a:prstGeom>
          <a:noFill/>
          <a:ln w="9525">
            <a:noFill/>
            <a:miter lim="800000"/>
            <a:headEnd/>
            <a:tailEnd/>
          </a:ln>
        </xdr:spPr>
        <xdr:txBody>
          <a:bodyPr wrap="none" lIns="18288" tIns="22860" rIns="0" bIns="0" anchor="t" upright="1">
            <a:noAutofit/>
          </a:bodyPr>
          <a:lstStyle/>
          <a:p>
            <a:pPr algn="l" rtl="0">
              <a:defRPr sz="1000"/>
            </a:pPr>
            <a:r>
              <a:rPr lang="es-ES" sz="800" b="1" i="0" strike="noStrike">
                <a:solidFill>
                  <a:srgbClr val="000000"/>
                </a:solidFill>
                <a:latin typeface="Arial"/>
                <a:cs typeface="Arial"/>
              </a:rPr>
              <a:t>Línea A</a:t>
            </a:r>
          </a:p>
        </xdr:txBody>
      </xdr:sp>
      <xdr:sp macro="" textlink="">
        <xdr:nvSpPr>
          <xdr:cNvPr id="43" name="Text Box 11">
            <a:extLst>
              <a:ext uri="{FF2B5EF4-FFF2-40B4-BE49-F238E27FC236}">
                <a16:creationId xmlns:a16="http://schemas.microsoft.com/office/drawing/2014/main" id="{00000000-0008-0000-0500-00002B000000}"/>
              </a:ext>
            </a:extLst>
          </xdr:cNvPr>
          <xdr:cNvSpPr txBox="1">
            <a:spLocks noChangeArrowheads="1"/>
          </xdr:cNvSpPr>
        </xdr:nvSpPr>
        <xdr:spPr bwMode="auto">
          <a:xfrm>
            <a:off x="12459268" y="2954698"/>
            <a:ext cx="388037" cy="142875"/>
          </a:xfrm>
          <a:prstGeom prst="rect">
            <a:avLst/>
          </a:prstGeom>
          <a:noFill/>
          <a:ln w="9525">
            <a:noFill/>
            <a:miter lim="800000"/>
            <a:headEnd/>
            <a:tailEnd/>
          </a:ln>
        </xdr:spPr>
        <xdr:txBody>
          <a:bodyPr wrap="none" lIns="18288" tIns="22860" rIns="0" bIns="0" anchor="t" upright="1">
            <a:noAutofit/>
          </a:bodyPr>
          <a:lstStyle/>
          <a:p>
            <a:pPr algn="l" rtl="0">
              <a:defRPr sz="1000"/>
            </a:pPr>
            <a:r>
              <a:rPr lang="es-ES" sz="800" b="1" i="0" strike="noStrike">
                <a:solidFill>
                  <a:srgbClr val="000000"/>
                </a:solidFill>
                <a:latin typeface="Arial"/>
                <a:cs typeface="Arial"/>
              </a:rPr>
              <a:t>Línea B</a:t>
            </a:r>
          </a:p>
        </xdr:txBody>
      </xdr:sp>
    </xdr:grpSp>
    <xdr:clientData/>
  </xdr:twoCellAnchor>
  <xdr:twoCellAnchor>
    <xdr:from>
      <xdr:col>22</xdr:col>
      <xdr:colOff>238125</xdr:colOff>
      <xdr:row>25</xdr:row>
      <xdr:rowOff>19050</xdr:rowOff>
    </xdr:from>
    <xdr:to>
      <xdr:col>22</xdr:col>
      <xdr:colOff>561975</xdr:colOff>
      <xdr:row>25</xdr:row>
      <xdr:rowOff>161925</xdr:rowOff>
    </xdr:to>
    <xdr:sp macro="" textlink="">
      <xdr:nvSpPr>
        <xdr:cNvPr id="4" name="Flecha abajo 3">
          <a:extLst>
            <a:ext uri="{FF2B5EF4-FFF2-40B4-BE49-F238E27FC236}">
              <a16:creationId xmlns:a16="http://schemas.microsoft.com/office/drawing/2014/main" id="{00000000-0008-0000-0500-000004000000}"/>
            </a:ext>
          </a:extLst>
        </xdr:cNvPr>
        <xdr:cNvSpPr/>
      </xdr:nvSpPr>
      <xdr:spPr>
        <a:xfrm>
          <a:off x="16002000" y="2867025"/>
          <a:ext cx="323850" cy="142875"/>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9524</xdr:colOff>
      <xdr:row>82</xdr:row>
      <xdr:rowOff>1</xdr:rowOff>
    </xdr:from>
    <xdr:to>
      <xdr:col>12</xdr:col>
      <xdr:colOff>0</xdr:colOff>
      <xdr:row>88</xdr:row>
      <xdr:rowOff>1</xdr:rowOff>
    </xdr:to>
    <xdr:grpSp>
      <xdr:nvGrpSpPr>
        <xdr:cNvPr id="44" name="Group 324">
          <a:extLst>
            <a:ext uri="{FF2B5EF4-FFF2-40B4-BE49-F238E27FC236}">
              <a16:creationId xmlns:a16="http://schemas.microsoft.com/office/drawing/2014/main" id="{00000000-0008-0000-0500-00002C000000}"/>
            </a:ext>
          </a:extLst>
        </xdr:cNvPr>
        <xdr:cNvGrpSpPr>
          <a:grpSpLocks/>
        </xdr:cNvGrpSpPr>
      </xdr:nvGrpSpPr>
      <xdr:grpSpPr bwMode="auto">
        <a:xfrm>
          <a:off x="9524" y="14218025"/>
          <a:ext cx="10748123" cy="1452282"/>
          <a:chOff x="0" y="1211"/>
          <a:chExt cx="928" cy="145"/>
        </a:xfrm>
      </xdr:grpSpPr>
      <xdr:sp macro="" textlink="">
        <xdr:nvSpPr>
          <xdr:cNvPr id="45" name="Rectangle 325">
            <a:extLst>
              <a:ext uri="{FF2B5EF4-FFF2-40B4-BE49-F238E27FC236}">
                <a16:creationId xmlns:a16="http://schemas.microsoft.com/office/drawing/2014/main" id="{00000000-0008-0000-0500-00002D000000}"/>
              </a:ext>
            </a:extLst>
          </xdr:cNvPr>
          <xdr:cNvSpPr>
            <a:spLocks noChangeArrowheads="1"/>
          </xdr:cNvSpPr>
        </xdr:nvSpPr>
        <xdr:spPr bwMode="auto">
          <a:xfrm>
            <a:off x="0" y="1211"/>
            <a:ext cx="226" cy="14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PE" sz="1000" b="0" i="0" u="none" strike="noStrike" baseline="0">
                <a:solidFill>
                  <a:srgbClr val="000000"/>
                </a:solidFill>
                <a:latin typeface="Arial"/>
                <a:cs typeface="Arial"/>
              </a:rPr>
              <a:t>Elaborado por Técnico Laboratorio QC:</a:t>
            </a:r>
            <a:br>
              <a:rPr lang="es-PE" sz="1000" b="0" i="0" u="none" strike="noStrike" baseline="0">
                <a:solidFill>
                  <a:srgbClr val="000000"/>
                </a:solidFill>
                <a:latin typeface="Arial"/>
                <a:cs typeface="Arial"/>
              </a:rPr>
            </a:br>
            <a:endParaRPr lang="es-PE" sz="1000" b="0" i="0" u="none" strike="noStrike" baseline="0">
              <a:solidFill>
                <a:srgbClr val="000000"/>
              </a:solidFill>
              <a:latin typeface="Arial"/>
              <a:cs typeface="Arial"/>
            </a:endParaRP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Nombre:	</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Fecha:	</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Firma:</a:t>
            </a:r>
          </a:p>
        </xdr:txBody>
      </xdr:sp>
      <xdr:sp macro="" textlink="">
        <xdr:nvSpPr>
          <xdr:cNvPr id="46" name="Rectangle 326">
            <a:extLst>
              <a:ext uri="{FF2B5EF4-FFF2-40B4-BE49-F238E27FC236}">
                <a16:creationId xmlns:a16="http://schemas.microsoft.com/office/drawing/2014/main" id="{00000000-0008-0000-0500-00002E000000}"/>
              </a:ext>
            </a:extLst>
          </xdr:cNvPr>
          <xdr:cNvSpPr>
            <a:spLocks noChangeArrowheads="1"/>
          </xdr:cNvSpPr>
        </xdr:nvSpPr>
        <xdr:spPr bwMode="auto">
          <a:xfrm>
            <a:off x="464" y="1211"/>
            <a:ext cx="229" cy="14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PE" sz="1000" b="0" i="0" u="none" strike="noStrike" baseline="0">
                <a:solidFill>
                  <a:srgbClr val="000000"/>
                </a:solidFill>
                <a:latin typeface="Arial"/>
                <a:cs typeface="Arial"/>
              </a:rPr>
              <a:t>Revisado por Jefe de Laboratorio QA:</a:t>
            </a:r>
            <a:br>
              <a:rPr lang="es-PE" sz="1000" b="0" i="0" u="none" strike="noStrike" baseline="0">
                <a:solidFill>
                  <a:srgbClr val="000000"/>
                </a:solidFill>
                <a:latin typeface="Arial"/>
                <a:cs typeface="Arial"/>
              </a:rPr>
            </a:br>
            <a:endParaRPr lang="es-PE" sz="1000" b="0" i="0" u="none" strike="noStrike" baseline="0">
              <a:solidFill>
                <a:srgbClr val="000000"/>
              </a:solidFill>
              <a:latin typeface="Arial"/>
              <a:cs typeface="Arial"/>
            </a:endParaRP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Nombre:</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Fecha:</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Firma:</a:t>
            </a:r>
          </a:p>
        </xdr:txBody>
      </xdr:sp>
      <xdr:sp macro="" textlink="">
        <xdr:nvSpPr>
          <xdr:cNvPr id="47" name="Rectangle 327">
            <a:extLst>
              <a:ext uri="{FF2B5EF4-FFF2-40B4-BE49-F238E27FC236}">
                <a16:creationId xmlns:a16="http://schemas.microsoft.com/office/drawing/2014/main" id="{00000000-0008-0000-0500-00002F000000}"/>
              </a:ext>
            </a:extLst>
          </xdr:cNvPr>
          <xdr:cNvSpPr>
            <a:spLocks noChangeArrowheads="1"/>
          </xdr:cNvSpPr>
        </xdr:nvSpPr>
        <xdr:spPr bwMode="auto">
          <a:xfrm>
            <a:off x="226" y="1211"/>
            <a:ext cx="238" cy="14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PE" sz="1000" b="0" i="0" u="none" strike="noStrike" baseline="0">
                <a:solidFill>
                  <a:srgbClr val="000000"/>
                </a:solidFill>
                <a:latin typeface="Arial"/>
                <a:cs typeface="Arial"/>
              </a:rPr>
              <a:t>Revisado por Jefe de Laboratorio QC:</a:t>
            </a:r>
            <a:br>
              <a:rPr lang="es-PE" sz="1000" b="0" i="0" u="none" strike="noStrike" baseline="0">
                <a:solidFill>
                  <a:srgbClr val="000000"/>
                </a:solidFill>
                <a:latin typeface="Arial"/>
                <a:cs typeface="Arial"/>
              </a:rPr>
            </a:br>
            <a:endParaRPr lang="es-PE" sz="1000" b="0" i="0" u="none" strike="noStrike" baseline="0">
              <a:solidFill>
                <a:srgbClr val="000000"/>
              </a:solidFill>
              <a:latin typeface="Arial"/>
              <a:cs typeface="Arial"/>
            </a:endParaRP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Nombre:	</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Fecha:	</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Firma:</a:t>
            </a:r>
          </a:p>
        </xdr:txBody>
      </xdr:sp>
      <xdr:sp macro="" textlink="">
        <xdr:nvSpPr>
          <xdr:cNvPr id="48" name="Rectangle 328">
            <a:extLst>
              <a:ext uri="{FF2B5EF4-FFF2-40B4-BE49-F238E27FC236}">
                <a16:creationId xmlns:a16="http://schemas.microsoft.com/office/drawing/2014/main" id="{00000000-0008-0000-0500-000030000000}"/>
              </a:ext>
            </a:extLst>
          </xdr:cNvPr>
          <xdr:cNvSpPr>
            <a:spLocks noChangeArrowheads="1"/>
          </xdr:cNvSpPr>
        </xdr:nvSpPr>
        <xdr:spPr bwMode="auto">
          <a:xfrm>
            <a:off x="693" y="1211"/>
            <a:ext cx="235" cy="14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Aprobado por SMCV:</a:t>
            </a:r>
          </a:p>
          <a:p>
            <a:pPr algn="l" rtl="0">
              <a:defRPr sz="1000"/>
            </a:pPr>
            <a:br>
              <a:rPr lang="es-PE" sz="1000" b="0" i="0" strike="noStrike">
                <a:solidFill>
                  <a:srgbClr val="000000"/>
                </a:solidFill>
                <a:latin typeface="Arial"/>
                <a:cs typeface="Arial"/>
              </a:rPr>
            </a:b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Nombre:</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Fecha:</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Firma:</a:t>
            </a:r>
          </a:p>
        </xdr:txBody>
      </xdr:sp>
      <xdr:grpSp>
        <xdr:nvGrpSpPr>
          <xdr:cNvPr id="49" name="Group 329">
            <a:extLst>
              <a:ext uri="{FF2B5EF4-FFF2-40B4-BE49-F238E27FC236}">
                <a16:creationId xmlns:a16="http://schemas.microsoft.com/office/drawing/2014/main" id="{00000000-0008-0000-0500-000031000000}"/>
              </a:ext>
            </a:extLst>
          </xdr:cNvPr>
          <xdr:cNvGrpSpPr>
            <a:grpSpLocks/>
          </xdr:cNvGrpSpPr>
        </xdr:nvGrpSpPr>
        <xdr:grpSpPr bwMode="auto">
          <a:xfrm>
            <a:off x="57" y="1265"/>
            <a:ext cx="164" cy="60"/>
            <a:chOff x="57" y="1265"/>
            <a:chExt cx="164" cy="60"/>
          </a:xfrm>
        </xdr:grpSpPr>
        <xdr:sp macro="" textlink="">
          <xdr:nvSpPr>
            <xdr:cNvPr id="69" name="Line 330">
              <a:extLst>
                <a:ext uri="{FF2B5EF4-FFF2-40B4-BE49-F238E27FC236}">
                  <a16:creationId xmlns:a16="http://schemas.microsoft.com/office/drawing/2014/main" id="{00000000-0008-0000-0500-000045000000}"/>
                </a:ext>
              </a:extLst>
            </xdr:cNvPr>
            <xdr:cNvSpPr>
              <a:spLocks noChangeShapeType="1"/>
            </xdr:cNvSpPr>
          </xdr:nvSpPr>
          <xdr:spPr bwMode="auto">
            <a:xfrm flipV="1">
              <a:off x="58" y="126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331">
              <a:extLst>
                <a:ext uri="{FF2B5EF4-FFF2-40B4-BE49-F238E27FC236}">
                  <a16:creationId xmlns:a16="http://schemas.microsoft.com/office/drawing/2014/main" id="{00000000-0008-0000-0500-000046000000}"/>
                </a:ext>
              </a:extLst>
            </xdr:cNvPr>
            <xdr:cNvSpPr>
              <a:spLocks noChangeShapeType="1"/>
            </xdr:cNvSpPr>
          </xdr:nvSpPr>
          <xdr:spPr bwMode="auto">
            <a:xfrm flipV="1">
              <a:off x="58" y="1296"/>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332">
              <a:extLst>
                <a:ext uri="{FF2B5EF4-FFF2-40B4-BE49-F238E27FC236}">
                  <a16:creationId xmlns:a16="http://schemas.microsoft.com/office/drawing/2014/main" id="{00000000-0008-0000-0500-000047000000}"/>
                </a:ext>
              </a:extLst>
            </xdr:cNvPr>
            <xdr:cNvSpPr>
              <a:spLocks noChangeShapeType="1"/>
            </xdr:cNvSpPr>
          </xdr:nvSpPr>
          <xdr:spPr bwMode="auto">
            <a:xfrm flipV="1">
              <a:off x="57" y="132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0" name="Group 333">
            <a:extLst>
              <a:ext uri="{FF2B5EF4-FFF2-40B4-BE49-F238E27FC236}">
                <a16:creationId xmlns:a16="http://schemas.microsoft.com/office/drawing/2014/main" id="{00000000-0008-0000-0500-000032000000}"/>
              </a:ext>
            </a:extLst>
          </xdr:cNvPr>
          <xdr:cNvGrpSpPr>
            <a:grpSpLocks/>
          </xdr:cNvGrpSpPr>
        </xdr:nvGrpSpPr>
        <xdr:grpSpPr bwMode="auto">
          <a:xfrm>
            <a:off x="279" y="1267"/>
            <a:ext cx="181" cy="60"/>
            <a:chOff x="47" y="1265"/>
            <a:chExt cx="181" cy="60"/>
          </a:xfrm>
        </xdr:grpSpPr>
        <xdr:sp macro="" textlink="">
          <xdr:nvSpPr>
            <xdr:cNvPr id="66" name="Line 334">
              <a:extLst>
                <a:ext uri="{FF2B5EF4-FFF2-40B4-BE49-F238E27FC236}">
                  <a16:creationId xmlns:a16="http://schemas.microsoft.com/office/drawing/2014/main" id="{00000000-0008-0000-0500-000042000000}"/>
                </a:ext>
              </a:extLst>
            </xdr:cNvPr>
            <xdr:cNvSpPr>
              <a:spLocks noChangeShapeType="1"/>
            </xdr:cNvSpPr>
          </xdr:nvSpPr>
          <xdr:spPr bwMode="auto">
            <a:xfrm flipV="1">
              <a:off x="49" y="1265"/>
              <a:ext cx="17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p>
              <a:endParaRPr lang="es-PE"/>
            </a:p>
          </xdr:txBody>
        </xdr:sp>
        <xdr:sp macro="" textlink="">
          <xdr:nvSpPr>
            <xdr:cNvPr id="67" name="Line 335">
              <a:extLst>
                <a:ext uri="{FF2B5EF4-FFF2-40B4-BE49-F238E27FC236}">
                  <a16:creationId xmlns:a16="http://schemas.microsoft.com/office/drawing/2014/main" id="{00000000-0008-0000-0500-000043000000}"/>
                </a:ext>
              </a:extLst>
            </xdr:cNvPr>
            <xdr:cNvSpPr>
              <a:spLocks noChangeShapeType="1"/>
            </xdr:cNvSpPr>
          </xdr:nvSpPr>
          <xdr:spPr bwMode="auto">
            <a:xfrm flipV="1">
              <a:off x="48" y="1296"/>
              <a:ext cx="17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336">
              <a:extLst>
                <a:ext uri="{FF2B5EF4-FFF2-40B4-BE49-F238E27FC236}">
                  <a16:creationId xmlns:a16="http://schemas.microsoft.com/office/drawing/2014/main" id="{00000000-0008-0000-0500-000044000000}"/>
                </a:ext>
              </a:extLst>
            </xdr:cNvPr>
            <xdr:cNvSpPr>
              <a:spLocks noChangeShapeType="1"/>
            </xdr:cNvSpPr>
          </xdr:nvSpPr>
          <xdr:spPr bwMode="auto">
            <a:xfrm flipV="1">
              <a:off x="47" y="1325"/>
              <a:ext cx="17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8" name="Group 337">
            <a:extLst>
              <a:ext uri="{FF2B5EF4-FFF2-40B4-BE49-F238E27FC236}">
                <a16:creationId xmlns:a16="http://schemas.microsoft.com/office/drawing/2014/main" id="{00000000-0008-0000-0500-00003A000000}"/>
              </a:ext>
            </a:extLst>
          </xdr:cNvPr>
          <xdr:cNvGrpSpPr>
            <a:grpSpLocks/>
          </xdr:cNvGrpSpPr>
        </xdr:nvGrpSpPr>
        <xdr:grpSpPr bwMode="auto">
          <a:xfrm>
            <a:off x="518" y="1266"/>
            <a:ext cx="164" cy="60"/>
            <a:chOff x="61" y="1265"/>
            <a:chExt cx="164" cy="60"/>
          </a:xfrm>
        </xdr:grpSpPr>
        <xdr:sp macro="" textlink="">
          <xdr:nvSpPr>
            <xdr:cNvPr id="63" name="Line 338">
              <a:extLst>
                <a:ext uri="{FF2B5EF4-FFF2-40B4-BE49-F238E27FC236}">
                  <a16:creationId xmlns:a16="http://schemas.microsoft.com/office/drawing/2014/main" id="{00000000-0008-0000-0500-00003F000000}"/>
                </a:ext>
              </a:extLst>
            </xdr:cNvPr>
            <xdr:cNvSpPr>
              <a:spLocks noChangeShapeType="1"/>
            </xdr:cNvSpPr>
          </xdr:nvSpPr>
          <xdr:spPr bwMode="auto">
            <a:xfrm flipV="1">
              <a:off x="62" y="126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339">
              <a:extLst>
                <a:ext uri="{FF2B5EF4-FFF2-40B4-BE49-F238E27FC236}">
                  <a16:creationId xmlns:a16="http://schemas.microsoft.com/office/drawing/2014/main" id="{00000000-0008-0000-0500-000040000000}"/>
                </a:ext>
              </a:extLst>
            </xdr:cNvPr>
            <xdr:cNvSpPr>
              <a:spLocks noChangeShapeType="1"/>
            </xdr:cNvSpPr>
          </xdr:nvSpPr>
          <xdr:spPr bwMode="auto">
            <a:xfrm flipV="1">
              <a:off x="61" y="1296"/>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340">
              <a:extLst>
                <a:ext uri="{FF2B5EF4-FFF2-40B4-BE49-F238E27FC236}">
                  <a16:creationId xmlns:a16="http://schemas.microsoft.com/office/drawing/2014/main" id="{00000000-0008-0000-0500-000041000000}"/>
                </a:ext>
              </a:extLst>
            </xdr:cNvPr>
            <xdr:cNvSpPr>
              <a:spLocks noChangeShapeType="1"/>
            </xdr:cNvSpPr>
          </xdr:nvSpPr>
          <xdr:spPr bwMode="auto">
            <a:xfrm flipV="1">
              <a:off x="61" y="132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9" name="Group 341">
            <a:extLst>
              <a:ext uri="{FF2B5EF4-FFF2-40B4-BE49-F238E27FC236}">
                <a16:creationId xmlns:a16="http://schemas.microsoft.com/office/drawing/2014/main" id="{00000000-0008-0000-0500-00003B000000}"/>
              </a:ext>
            </a:extLst>
          </xdr:cNvPr>
          <xdr:cNvGrpSpPr>
            <a:grpSpLocks/>
          </xdr:cNvGrpSpPr>
        </xdr:nvGrpSpPr>
        <xdr:grpSpPr bwMode="auto">
          <a:xfrm>
            <a:off x="750" y="1265"/>
            <a:ext cx="164" cy="60"/>
            <a:chOff x="61" y="1265"/>
            <a:chExt cx="164" cy="60"/>
          </a:xfrm>
        </xdr:grpSpPr>
        <xdr:sp macro="" textlink="">
          <xdr:nvSpPr>
            <xdr:cNvPr id="60" name="Line 342">
              <a:extLst>
                <a:ext uri="{FF2B5EF4-FFF2-40B4-BE49-F238E27FC236}">
                  <a16:creationId xmlns:a16="http://schemas.microsoft.com/office/drawing/2014/main" id="{00000000-0008-0000-0500-00003C000000}"/>
                </a:ext>
              </a:extLst>
            </xdr:cNvPr>
            <xdr:cNvSpPr>
              <a:spLocks noChangeShapeType="1"/>
            </xdr:cNvSpPr>
          </xdr:nvSpPr>
          <xdr:spPr bwMode="auto">
            <a:xfrm flipV="1">
              <a:off x="62" y="126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343">
              <a:extLst>
                <a:ext uri="{FF2B5EF4-FFF2-40B4-BE49-F238E27FC236}">
                  <a16:creationId xmlns:a16="http://schemas.microsoft.com/office/drawing/2014/main" id="{00000000-0008-0000-0500-00003D000000}"/>
                </a:ext>
              </a:extLst>
            </xdr:cNvPr>
            <xdr:cNvSpPr>
              <a:spLocks noChangeShapeType="1"/>
            </xdr:cNvSpPr>
          </xdr:nvSpPr>
          <xdr:spPr bwMode="auto">
            <a:xfrm flipV="1">
              <a:off x="61" y="1296"/>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344">
              <a:extLst>
                <a:ext uri="{FF2B5EF4-FFF2-40B4-BE49-F238E27FC236}">
                  <a16:creationId xmlns:a16="http://schemas.microsoft.com/office/drawing/2014/main" id="{00000000-0008-0000-0500-00003E000000}"/>
                </a:ext>
              </a:extLst>
            </xdr:cNvPr>
            <xdr:cNvSpPr>
              <a:spLocks noChangeShapeType="1"/>
            </xdr:cNvSpPr>
          </xdr:nvSpPr>
          <xdr:spPr bwMode="auto">
            <a:xfrm flipV="1">
              <a:off x="61" y="132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twoCellAnchor editAs="oneCell">
    <xdr:from>
      <xdr:col>0</xdr:col>
      <xdr:colOff>241690</xdr:colOff>
      <xdr:row>0</xdr:row>
      <xdr:rowOff>143572</xdr:rowOff>
    </xdr:from>
    <xdr:to>
      <xdr:col>1</xdr:col>
      <xdr:colOff>177106</xdr:colOff>
      <xdr:row>3</xdr:row>
      <xdr:rowOff>76201</xdr:rowOff>
    </xdr:to>
    <xdr:pic>
      <xdr:nvPicPr>
        <xdr:cNvPr id="75" name="Picture 18" descr="Cerro Verde">
          <a:extLst>
            <a:ext uri="{FF2B5EF4-FFF2-40B4-BE49-F238E27FC236}">
              <a16:creationId xmlns:a16="http://schemas.microsoft.com/office/drawing/2014/main" id="{00000000-0008-0000-0500-00004B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1690" y="143572"/>
          <a:ext cx="830766" cy="5327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85725</xdr:colOff>
      <xdr:row>15</xdr:row>
      <xdr:rowOff>180975</xdr:rowOff>
    </xdr:from>
    <xdr:to>
      <xdr:col>7</xdr:col>
      <xdr:colOff>476250</xdr:colOff>
      <xdr:row>22</xdr:row>
      <xdr:rowOff>28575</xdr:rowOff>
    </xdr:to>
    <xdr:sp macro="" textlink="">
      <xdr:nvSpPr>
        <xdr:cNvPr id="73" name="4 CuadroTexto">
          <a:extLst>
            <a:ext uri="{FF2B5EF4-FFF2-40B4-BE49-F238E27FC236}">
              <a16:creationId xmlns:a16="http://schemas.microsoft.com/office/drawing/2014/main" id="{00000000-0008-0000-0500-000049000000}"/>
            </a:ext>
          </a:extLst>
        </xdr:cNvPr>
        <xdr:cNvSpPr txBox="1"/>
      </xdr:nvSpPr>
      <xdr:spPr>
        <a:xfrm>
          <a:off x="5229225" y="3181350"/>
          <a:ext cx="3905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800" b="0">
              <a:solidFill>
                <a:sysClr val="windowText" lastClr="000000"/>
              </a:solidFill>
              <a:latin typeface="Verdana" panose="020B0604030504040204" pitchFamily="34" charset="0"/>
              <a:ea typeface="Verdana" panose="020B0604030504040204" pitchFamily="34" charset="0"/>
            </a:rPr>
            <a:t>100</a:t>
          </a:r>
        </a:p>
      </xdr:txBody>
    </xdr:sp>
    <xdr:clientData/>
  </xdr:twoCellAnchor>
  <xdr:twoCellAnchor>
    <xdr:from>
      <xdr:col>6</xdr:col>
      <xdr:colOff>133350</xdr:colOff>
      <xdr:row>43</xdr:row>
      <xdr:rowOff>180975</xdr:rowOff>
    </xdr:from>
    <xdr:to>
      <xdr:col>6</xdr:col>
      <xdr:colOff>523875</xdr:colOff>
      <xdr:row>46</xdr:row>
      <xdr:rowOff>47625</xdr:rowOff>
    </xdr:to>
    <xdr:sp macro="" textlink="">
      <xdr:nvSpPr>
        <xdr:cNvPr id="76" name="4 CuadroTexto">
          <a:extLst>
            <a:ext uri="{FF2B5EF4-FFF2-40B4-BE49-F238E27FC236}">
              <a16:creationId xmlns:a16="http://schemas.microsoft.com/office/drawing/2014/main" id="{00000000-0008-0000-0500-00004C000000}"/>
            </a:ext>
          </a:extLst>
        </xdr:cNvPr>
        <xdr:cNvSpPr txBox="1"/>
      </xdr:nvSpPr>
      <xdr:spPr>
        <a:xfrm>
          <a:off x="4733925" y="7572375"/>
          <a:ext cx="3905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800" b="0">
              <a:solidFill>
                <a:sysClr val="windowText" lastClr="000000"/>
              </a:solidFill>
              <a:latin typeface="Verdana" panose="020B0604030504040204" pitchFamily="34" charset="0"/>
              <a:ea typeface="Verdana" panose="020B0604030504040204" pitchFamily="34" charset="0"/>
            </a:rPr>
            <a:t>15</a:t>
          </a:r>
        </a:p>
      </xdr:txBody>
    </xdr:sp>
    <xdr:clientData/>
  </xdr:twoCellAnchor>
  <xdr:twoCellAnchor>
    <xdr:from>
      <xdr:col>6</xdr:col>
      <xdr:colOff>0</xdr:colOff>
      <xdr:row>14</xdr:row>
      <xdr:rowOff>190500</xdr:rowOff>
    </xdr:from>
    <xdr:to>
      <xdr:col>7</xdr:col>
      <xdr:colOff>533400</xdr:colOff>
      <xdr:row>15</xdr:row>
      <xdr:rowOff>152400</xdr:rowOff>
    </xdr:to>
    <xdr:sp macro="" textlink="">
      <xdr:nvSpPr>
        <xdr:cNvPr id="77" name="4 CuadroTexto">
          <a:extLst>
            <a:ext uri="{FF2B5EF4-FFF2-40B4-BE49-F238E27FC236}">
              <a16:creationId xmlns:a16="http://schemas.microsoft.com/office/drawing/2014/main" id="{00000000-0008-0000-0500-00004D000000}"/>
            </a:ext>
          </a:extLst>
        </xdr:cNvPr>
        <xdr:cNvSpPr txBox="1"/>
      </xdr:nvSpPr>
      <xdr:spPr>
        <a:xfrm>
          <a:off x="5086350" y="2990850"/>
          <a:ext cx="107632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800" b="1">
              <a:solidFill>
                <a:sysClr val="windowText" lastClr="000000"/>
              </a:solidFill>
              <a:latin typeface="Verdana" panose="020B0604030504040204" pitchFamily="34" charset="0"/>
              <a:ea typeface="Verdana" panose="020B0604030504040204" pitchFamily="34" charset="0"/>
            </a:rPr>
            <a:t>  MÍN        MÁX</a:t>
          </a:r>
        </a:p>
      </xdr:txBody>
    </xdr:sp>
    <xdr:clientData/>
  </xdr:twoCellAnchor>
  <xdr:twoCellAnchor editAs="oneCell">
    <xdr:from>
      <xdr:col>6</xdr:col>
      <xdr:colOff>523875</xdr:colOff>
      <xdr:row>0</xdr:row>
      <xdr:rowOff>76200</xdr:rowOff>
    </xdr:from>
    <xdr:to>
      <xdr:col>8</xdr:col>
      <xdr:colOff>650501</xdr:colOff>
      <xdr:row>3</xdr:row>
      <xdr:rowOff>121221</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5"/>
        <a:stretch>
          <a:fillRect/>
        </a:stretch>
      </xdr:blipFill>
      <xdr:spPr>
        <a:xfrm>
          <a:off x="5124450" y="76200"/>
          <a:ext cx="1352550" cy="645096"/>
        </a:xfrm>
        <a:prstGeom prst="rect">
          <a:avLst/>
        </a:prstGeom>
      </xdr:spPr>
    </xdr:pic>
    <xdr:clientData/>
  </xdr:twoCellAnchor>
  <xdr:twoCellAnchor>
    <xdr:from>
      <xdr:col>0</xdr:col>
      <xdr:colOff>66675</xdr:colOff>
      <xdr:row>79</xdr:row>
      <xdr:rowOff>76200</xdr:rowOff>
    </xdr:from>
    <xdr:to>
      <xdr:col>11</xdr:col>
      <xdr:colOff>781050</xdr:colOff>
      <xdr:row>81</xdr:row>
      <xdr:rowOff>38100</xdr:rowOff>
    </xdr:to>
    <xdr:grpSp>
      <xdr:nvGrpSpPr>
        <xdr:cNvPr id="6" name="36 Grupo">
          <a:extLst>
            <a:ext uri="{FF2B5EF4-FFF2-40B4-BE49-F238E27FC236}">
              <a16:creationId xmlns:a16="http://schemas.microsoft.com/office/drawing/2014/main" id="{00000000-0008-0000-0500-000006000000}"/>
            </a:ext>
          </a:extLst>
        </xdr:cNvPr>
        <xdr:cNvGrpSpPr/>
      </xdr:nvGrpSpPr>
      <xdr:grpSpPr>
        <a:xfrm>
          <a:off x="66675" y="13845988"/>
          <a:ext cx="10315575" cy="320488"/>
          <a:chOff x="71438" y="6592573"/>
          <a:chExt cx="8748220" cy="814568"/>
        </a:xfrm>
      </xdr:grpSpPr>
      <xdr:cxnSp macro="">
        <xdr:nvCxnSpPr>
          <xdr:cNvPr id="7" name="32 Conector recto">
            <a:extLst>
              <a:ext uri="{FF2B5EF4-FFF2-40B4-BE49-F238E27FC236}">
                <a16:creationId xmlns:a16="http://schemas.microsoft.com/office/drawing/2014/main" id="{00000000-0008-0000-0500-000007000000}"/>
              </a:ext>
            </a:extLst>
          </xdr:cNvPr>
          <xdr:cNvCxnSpPr/>
        </xdr:nvCxnSpPr>
        <xdr:spPr>
          <a:xfrm>
            <a:off x="71438" y="6598526"/>
            <a:ext cx="7546879" cy="0"/>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8" name="33 Conector recto">
            <a:extLst>
              <a:ext uri="{FF2B5EF4-FFF2-40B4-BE49-F238E27FC236}">
                <a16:creationId xmlns:a16="http://schemas.microsoft.com/office/drawing/2014/main" id="{00000000-0008-0000-0500-000008000000}"/>
              </a:ext>
            </a:extLst>
          </xdr:cNvPr>
          <xdr:cNvCxnSpPr/>
        </xdr:nvCxnSpPr>
        <xdr:spPr>
          <a:xfrm>
            <a:off x="7618317" y="6592573"/>
            <a:ext cx="1201341" cy="814568"/>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76200</xdr:colOff>
      <xdr:row>8</xdr:row>
      <xdr:rowOff>95250</xdr:rowOff>
    </xdr:from>
    <xdr:to>
      <xdr:col>6</xdr:col>
      <xdr:colOff>361950</xdr:colOff>
      <xdr:row>8</xdr:row>
      <xdr:rowOff>180975</xdr:rowOff>
    </xdr:to>
    <xdr:grpSp>
      <xdr:nvGrpSpPr>
        <xdr:cNvPr id="9" name="36 Grupo">
          <a:extLst>
            <a:ext uri="{FF2B5EF4-FFF2-40B4-BE49-F238E27FC236}">
              <a16:creationId xmlns:a16="http://schemas.microsoft.com/office/drawing/2014/main" id="{00000000-0008-0000-0500-000009000000}"/>
            </a:ext>
          </a:extLst>
        </xdr:cNvPr>
        <xdr:cNvGrpSpPr/>
      </xdr:nvGrpSpPr>
      <xdr:grpSpPr>
        <a:xfrm>
          <a:off x="2200835" y="1852332"/>
          <a:ext cx="3764056" cy="85725"/>
          <a:chOff x="71438" y="6592573"/>
          <a:chExt cx="8748220" cy="814568"/>
        </a:xfrm>
      </xdr:grpSpPr>
      <xdr:cxnSp macro="">
        <xdr:nvCxnSpPr>
          <xdr:cNvPr id="10" name="32 Conector recto">
            <a:extLst>
              <a:ext uri="{FF2B5EF4-FFF2-40B4-BE49-F238E27FC236}">
                <a16:creationId xmlns:a16="http://schemas.microsoft.com/office/drawing/2014/main" id="{00000000-0008-0000-0500-00000A000000}"/>
              </a:ext>
            </a:extLst>
          </xdr:cNvPr>
          <xdr:cNvCxnSpPr/>
        </xdr:nvCxnSpPr>
        <xdr:spPr>
          <a:xfrm>
            <a:off x="71438" y="6598526"/>
            <a:ext cx="7546879" cy="0"/>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11" name="33 Conector recto">
            <a:extLst>
              <a:ext uri="{FF2B5EF4-FFF2-40B4-BE49-F238E27FC236}">
                <a16:creationId xmlns:a16="http://schemas.microsoft.com/office/drawing/2014/main" id="{00000000-0008-0000-0500-00000B000000}"/>
              </a:ext>
            </a:extLst>
          </xdr:cNvPr>
          <xdr:cNvCxnSpPr/>
        </xdr:nvCxnSpPr>
        <xdr:spPr>
          <a:xfrm>
            <a:off x="7618317" y="6592573"/>
            <a:ext cx="1201341" cy="814568"/>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xml><?xml version="1.0" encoding="utf-8"?>
<c:userShapes xmlns:c="http://schemas.openxmlformats.org/drawingml/2006/chart">
  <cdr:relSizeAnchor xmlns:cdr="http://schemas.openxmlformats.org/drawingml/2006/chartDrawing">
    <cdr:from>
      <cdr:x>0.43944</cdr:x>
      <cdr:y>0.81258</cdr:y>
    </cdr:from>
    <cdr:to>
      <cdr:x>0.68183</cdr:x>
      <cdr:y>0.863</cdr:y>
    </cdr:to>
    <cdr:sp macro="" textlink="">
      <cdr:nvSpPr>
        <cdr:cNvPr id="6" name="CuadroTexto 5">
          <a:extLst xmlns:a="http://schemas.openxmlformats.org/drawingml/2006/main">
            <a:ext uri="{FF2B5EF4-FFF2-40B4-BE49-F238E27FC236}">
              <a16:creationId xmlns:a16="http://schemas.microsoft.com/office/drawing/2014/main" id="{ED142DD4-6F0C-8F47-23B2-130DC1E102B8}"/>
            </a:ext>
          </a:extLst>
        </cdr:cNvPr>
        <cdr:cNvSpPr txBox="1"/>
      </cdr:nvSpPr>
      <cdr:spPr>
        <a:xfrm xmlns:a="http://schemas.openxmlformats.org/drawingml/2006/main">
          <a:off x="4333995" y="4268122"/>
          <a:ext cx="2390564" cy="264834"/>
        </a:xfrm>
        <a:prstGeom xmlns:a="http://schemas.openxmlformats.org/drawingml/2006/main" prst="rect">
          <a:avLst/>
        </a:prstGeom>
        <a:ln xmlns:a="http://schemas.openxmlformats.org/drawingml/2006/main" w="6350">
          <a:solidFill>
            <a:srgbClr val="002060"/>
          </a:solidFill>
          <a:prstDash val="dash"/>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s-PE" sz="800" b="0" i="1" u="none">
              <a:latin typeface="Verdana" panose="020B0604030504040204" pitchFamily="34" charset="0"/>
              <a:ea typeface="Verdana" panose="020B0604030504040204" pitchFamily="34" charset="0"/>
              <a:cs typeface="+mn-cs"/>
            </a:rPr>
            <a:t>EE.TT.: Tendra</a:t>
          </a:r>
          <a:r>
            <a:rPr lang="es-PE" sz="800" b="0" i="1" u="none" baseline="0">
              <a:latin typeface="Verdana" panose="020B0604030504040204" pitchFamily="34" charset="0"/>
              <a:ea typeface="Verdana" panose="020B0604030504040204" pitchFamily="34" charset="0"/>
              <a:cs typeface="+mn-cs"/>
            </a:rPr>
            <a:t> una g</a:t>
          </a:r>
          <a:r>
            <a:rPr lang="es-PE" sz="800" b="0" i="1" u="none">
              <a:latin typeface="Verdana" panose="020B0604030504040204" pitchFamily="34" charset="0"/>
              <a:ea typeface="Verdana" panose="020B0604030504040204" pitchFamily="34" charset="0"/>
              <a:cs typeface="+mn-cs"/>
            </a:rPr>
            <a:t>ranulometría mínima</a:t>
          </a:r>
          <a:br>
            <a:rPr lang="es-PE" sz="800" b="0" i="1" u="none">
              <a:latin typeface="Verdana" panose="020B0604030504040204" pitchFamily="34" charset="0"/>
              <a:ea typeface="Verdana" panose="020B0604030504040204" pitchFamily="34" charset="0"/>
              <a:cs typeface="+mn-cs"/>
            </a:rPr>
          </a:br>
          <a:r>
            <a:rPr lang="es-PE" sz="800" b="0" i="1" u="none">
              <a:latin typeface="Verdana" panose="020B0604030504040204" pitchFamily="34" charset="0"/>
              <a:ea typeface="Verdana" panose="020B0604030504040204" pitchFamily="34" charset="0"/>
              <a:cs typeface="+mn-cs"/>
            </a:rPr>
            <a:t>de 15%</a:t>
          </a:r>
          <a:r>
            <a:rPr lang="es-PE" sz="800" b="0" i="1" u="none" baseline="0">
              <a:latin typeface="Verdana" panose="020B0604030504040204" pitchFamily="34" charset="0"/>
              <a:ea typeface="Verdana" panose="020B0604030504040204" pitchFamily="34" charset="0"/>
              <a:cs typeface="+mn-cs"/>
            </a:rPr>
            <a:t> </a:t>
          </a:r>
          <a:r>
            <a:rPr lang="es-PE" sz="800" b="0" i="1" u="none">
              <a:latin typeface="Verdana" panose="020B0604030504040204" pitchFamily="34" charset="0"/>
              <a:ea typeface="Verdana" panose="020B0604030504040204" pitchFamily="34" charset="0"/>
              <a:cs typeface="+mn-cs"/>
            </a:rPr>
            <a:t>que pase el tamiz N° 200</a:t>
          </a:r>
          <a:endParaRPr lang="es-PE" sz="800" b="0" i="1" u="none" kern="1200">
            <a:latin typeface="Verdana" panose="020B0604030504040204" pitchFamily="34" charset="0"/>
            <a:ea typeface="Verdana" panose="020B0604030504040204" pitchFamily="34" charset="0"/>
          </a:endParaRPr>
        </a:p>
      </cdr:txBody>
    </cdr:sp>
  </cdr:relSizeAnchor>
  <cdr:relSizeAnchor xmlns:cdr="http://schemas.openxmlformats.org/drawingml/2006/chartDrawing">
    <cdr:from>
      <cdr:x>0.16398</cdr:x>
      <cdr:y>0.27948</cdr:y>
    </cdr:from>
    <cdr:to>
      <cdr:x>0.19409</cdr:x>
      <cdr:y>0.6878</cdr:y>
    </cdr:to>
    <cdr:sp macro="" textlink="">
      <cdr:nvSpPr>
        <cdr:cNvPr id="15" name="CuadroTexto 1">
          <a:extLst xmlns:a="http://schemas.openxmlformats.org/drawingml/2006/main">
            <a:ext uri="{FF2B5EF4-FFF2-40B4-BE49-F238E27FC236}">
              <a16:creationId xmlns:a16="http://schemas.microsoft.com/office/drawing/2014/main" id="{A7B58F73-47A0-9243-1C1A-3C744948AEB5}"/>
            </a:ext>
          </a:extLst>
        </cdr:cNvPr>
        <cdr:cNvSpPr txBox="1"/>
      </cdr:nvSpPr>
      <cdr:spPr>
        <a:xfrm xmlns:a="http://schemas.openxmlformats.org/drawingml/2006/main" rot="16200000">
          <a:off x="693397" y="2391857"/>
          <a:ext cx="2144724" cy="296960"/>
        </a:xfrm>
        <a:prstGeom xmlns:a="http://schemas.openxmlformats.org/drawingml/2006/main" prst="rect">
          <a:avLst/>
        </a:prstGeom>
        <a:solidFill xmlns:a="http://schemas.openxmlformats.org/drawingml/2006/main">
          <a:schemeClr val="bg1"/>
        </a:solidFill>
        <a:ln xmlns:a="http://schemas.openxmlformats.org/drawingml/2006/main" w="6350">
          <a:solidFill>
            <a:srgbClr val="002060"/>
          </a:solidFill>
          <a:prstDash val="dash"/>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s-PE" sz="800" b="0" i="1" u="none">
              <a:latin typeface="Verdana" panose="020B0604030504040204" pitchFamily="34" charset="0"/>
              <a:ea typeface="Verdana" panose="020B0604030504040204" pitchFamily="34" charset="0"/>
              <a:cs typeface="+mn-cs"/>
            </a:rPr>
            <a:t>EE.TT.: El tamaño máximo</a:t>
          </a:r>
          <a:r>
            <a:rPr lang="es-PE" sz="800" b="0" i="1" u="none" baseline="0">
              <a:latin typeface="Verdana" panose="020B0604030504040204" pitchFamily="34" charset="0"/>
              <a:ea typeface="Verdana" panose="020B0604030504040204" pitchFamily="34" charset="0"/>
              <a:cs typeface="+mn-cs"/>
            </a:rPr>
            <a:t> de particula de este material será 15 cm</a:t>
          </a:r>
          <a:endParaRPr lang="es-PE" sz="800" b="0" i="1" u="none" kern="1200">
            <a:latin typeface="Verdana" panose="020B0604030504040204" pitchFamily="34" charset="0"/>
            <a:ea typeface="Verdana" panose="020B060403050404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0.66468</cdr:x>
      <cdr:y>0.20402</cdr:y>
    </cdr:from>
    <cdr:to>
      <cdr:x>0.798</cdr:x>
      <cdr:y>0.25448</cdr:y>
    </cdr:to>
    <cdr:sp macro="" textlink="">
      <cdr:nvSpPr>
        <cdr:cNvPr id="2" name="Text Box 2"/>
        <cdr:cNvSpPr txBox="1">
          <a:spLocks xmlns:a="http://schemas.openxmlformats.org/drawingml/2006/main" noChangeArrowheads="1"/>
        </cdr:cNvSpPr>
      </cdr:nvSpPr>
      <cdr:spPr bwMode="auto">
        <a:xfrm xmlns:a="http://schemas.openxmlformats.org/drawingml/2006/main">
          <a:off x="2127250" y="450850"/>
          <a:ext cx="426655" cy="111505"/>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a:effectLst xmlns:a="http://schemas.openxmlformats.org/drawingml/2006/main">
          <a:outerShdw dist="35921" dir="2700000" algn="ctr" rotWithShape="0">
            <a:srgbClr val="808080"/>
          </a:outerShdw>
        </a:effectLst>
      </cdr:spPr>
      <cdr:txBody>
        <a:bodyPr xmlns:a="http://schemas.openxmlformats.org/drawingml/2006/main" wrap="none" lIns="18288" tIns="22860" rIns="0" bIns="0" anchor="t" upright="1">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rtl="0">
            <a:defRPr sz="1000"/>
          </a:pPr>
          <a:r>
            <a:rPr lang="es-ES" sz="700" b="1" i="0" strike="noStrike">
              <a:solidFill>
                <a:srgbClr val="000000"/>
              </a:solidFill>
              <a:latin typeface="Arial"/>
              <a:cs typeface="Arial"/>
            </a:rPr>
            <a:t>IP = LL - 30</a:t>
          </a:r>
        </a:p>
      </cdr:txBody>
    </cdr:sp>
  </cdr:relSizeAnchor>
  <cdr:relSizeAnchor xmlns:cdr="http://schemas.openxmlformats.org/drawingml/2006/chartDrawing">
    <cdr:from>
      <cdr:x>0.73214</cdr:x>
      <cdr:y>0.26293</cdr:y>
    </cdr:from>
    <cdr:to>
      <cdr:x>0.78274</cdr:x>
      <cdr:y>0.3319</cdr:y>
    </cdr:to>
    <cdr:sp macro="" textlink="">
      <cdr:nvSpPr>
        <cdr:cNvPr id="3" name="Line 3"/>
        <cdr:cNvSpPr>
          <a:spLocks xmlns:a="http://schemas.openxmlformats.org/drawingml/2006/main" noChangeShapeType="1"/>
        </cdr:cNvSpPr>
      </cdr:nvSpPr>
      <cdr:spPr bwMode="auto">
        <a:xfrm xmlns:a="http://schemas.openxmlformats.org/drawingml/2006/main">
          <a:off x="2343150" y="581025"/>
          <a:ext cx="161925" cy="152400"/>
        </a:xfrm>
        <a:prstGeom xmlns:a="http://schemas.openxmlformats.org/drawingml/2006/main" prst="line">
          <a:avLst/>
        </a:prstGeom>
        <a:noFill xmlns:a="http://schemas.openxmlformats.org/drawingml/2006/main"/>
        <a:ln xmlns:a="http://schemas.openxmlformats.org/drawingml/2006/main" w="12700">
          <a:solidFill>
            <a:srgbClr val="000000"/>
          </a:solidFill>
          <a:round/>
          <a:headEnd/>
          <a:tailEnd type="triangle" w="med"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a:lstStyle xmlns:a="http://schemas.openxmlformats.org/drawingml/2006/main"/>
        <a:p xmlns:a="http://schemas.openxmlformats.org/drawingml/2006/main">
          <a:endParaRPr lang="es-PE"/>
        </a:p>
      </cdr:txBody>
    </cdr:sp>
  </cdr:relSizeAnchor>
</c:userShapes>
</file>

<file path=xl/drawings/drawing8.xml><?xml version="1.0" encoding="utf-8"?>
<xdr:wsDr xmlns:xdr="http://schemas.openxmlformats.org/drawingml/2006/spreadsheetDrawing" xmlns:a="http://schemas.openxmlformats.org/drawingml/2006/main">
  <xdr:twoCellAnchor>
    <xdr:from>
      <xdr:col>1</xdr:col>
      <xdr:colOff>400050</xdr:colOff>
      <xdr:row>0</xdr:row>
      <xdr:rowOff>0</xdr:rowOff>
    </xdr:from>
    <xdr:to>
      <xdr:col>3</xdr:col>
      <xdr:colOff>666750</xdr:colOff>
      <xdr:row>0</xdr:row>
      <xdr:rowOff>0</xdr:rowOff>
    </xdr:to>
    <xdr:pic>
      <xdr:nvPicPr>
        <xdr:cNvPr id="3075" name="Picture 7">
          <a:extLst>
            <a:ext uri="{FF2B5EF4-FFF2-40B4-BE49-F238E27FC236}">
              <a16:creationId xmlns:a16="http://schemas.microsoft.com/office/drawing/2014/main" id="{00000000-0008-0000-0600-0000030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405" t="14508" r="1405" b="14508"/>
        <a:stretch>
          <a:fillRect/>
        </a:stretch>
      </xdr:blipFill>
      <xdr:spPr bwMode="auto">
        <a:xfrm>
          <a:off x="485775" y="0"/>
          <a:ext cx="138112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6</xdr:col>
      <xdr:colOff>266701</xdr:colOff>
      <xdr:row>54</xdr:row>
      <xdr:rowOff>19051</xdr:rowOff>
    </xdr:from>
    <xdr:to>
      <xdr:col>7</xdr:col>
      <xdr:colOff>114301</xdr:colOff>
      <xdr:row>55</xdr:row>
      <xdr:rowOff>19050</xdr:rowOff>
    </xdr:to>
    <xdr:sp macro="" textlink="">
      <xdr:nvSpPr>
        <xdr:cNvPr id="3" name="Rectángulo 2">
          <a:extLst>
            <a:ext uri="{FF2B5EF4-FFF2-40B4-BE49-F238E27FC236}">
              <a16:creationId xmlns:a16="http://schemas.microsoft.com/office/drawing/2014/main" id="{00000000-0008-0000-0600-000003000000}"/>
            </a:ext>
          </a:extLst>
        </xdr:cNvPr>
        <xdr:cNvSpPr/>
      </xdr:nvSpPr>
      <xdr:spPr>
        <a:xfrm>
          <a:off x="3714751" y="9248776"/>
          <a:ext cx="361950" cy="1619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100">
              <a:solidFill>
                <a:sysClr val="windowText" lastClr="000000"/>
              </a:solidFill>
            </a:rPr>
            <a:t>25</a:t>
          </a:r>
        </a:p>
      </xdr:txBody>
    </xdr:sp>
    <xdr:clientData/>
  </xdr:twoCellAnchor>
  <xdr:twoCellAnchor>
    <xdr:from>
      <xdr:col>14</xdr:col>
      <xdr:colOff>47626</xdr:colOff>
      <xdr:row>35</xdr:row>
      <xdr:rowOff>28575</xdr:rowOff>
    </xdr:from>
    <xdr:to>
      <xdr:col>14</xdr:col>
      <xdr:colOff>333376</xdr:colOff>
      <xdr:row>36</xdr:row>
      <xdr:rowOff>152400</xdr:rowOff>
    </xdr:to>
    <xdr:sp macro="" textlink="">
      <xdr:nvSpPr>
        <xdr:cNvPr id="2" name="Flecha izquierda 1">
          <a:extLst>
            <a:ext uri="{FF2B5EF4-FFF2-40B4-BE49-F238E27FC236}">
              <a16:creationId xmlns:a16="http://schemas.microsoft.com/office/drawing/2014/main" id="{00000000-0008-0000-0600-000002000000}"/>
            </a:ext>
          </a:extLst>
        </xdr:cNvPr>
        <xdr:cNvSpPr/>
      </xdr:nvSpPr>
      <xdr:spPr>
        <a:xfrm>
          <a:off x="8753476" y="6115050"/>
          <a:ext cx="285750" cy="342900"/>
        </a:xfrm>
        <a:prstGeom prst="lef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1</xdr:col>
      <xdr:colOff>184540</xdr:colOff>
      <xdr:row>0</xdr:row>
      <xdr:rowOff>200722</xdr:rowOff>
    </xdr:from>
    <xdr:to>
      <xdr:col>1</xdr:col>
      <xdr:colOff>1015306</xdr:colOff>
      <xdr:row>3</xdr:row>
      <xdr:rowOff>47626</xdr:rowOff>
    </xdr:to>
    <xdr:pic>
      <xdr:nvPicPr>
        <xdr:cNvPr id="41" name="Picture 18" descr="Cerro Verde">
          <a:extLst>
            <a:ext uri="{FF2B5EF4-FFF2-40B4-BE49-F238E27FC236}">
              <a16:creationId xmlns:a16="http://schemas.microsoft.com/office/drawing/2014/main" id="{00000000-0008-0000-0600-00002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0265" y="200722"/>
          <a:ext cx="830766" cy="5327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73</xdr:row>
      <xdr:rowOff>0</xdr:rowOff>
    </xdr:from>
    <xdr:to>
      <xdr:col>14</xdr:col>
      <xdr:colOff>0</xdr:colOff>
      <xdr:row>79</xdr:row>
      <xdr:rowOff>0</xdr:rowOff>
    </xdr:to>
    <xdr:grpSp>
      <xdr:nvGrpSpPr>
        <xdr:cNvPr id="42" name="Group 324">
          <a:extLst>
            <a:ext uri="{FF2B5EF4-FFF2-40B4-BE49-F238E27FC236}">
              <a16:creationId xmlns:a16="http://schemas.microsoft.com/office/drawing/2014/main" id="{00000000-0008-0000-0600-00002A000000}"/>
            </a:ext>
          </a:extLst>
        </xdr:cNvPr>
        <xdr:cNvGrpSpPr>
          <a:grpSpLocks/>
        </xdr:cNvGrpSpPr>
      </xdr:nvGrpSpPr>
      <xdr:grpSpPr bwMode="auto">
        <a:xfrm>
          <a:off x="92765" y="13411200"/>
          <a:ext cx="9382539" cy="1444487"/>
          <a:chOff x="0" y="1211"/>
          <a:chExt cx="928" cy="145"/>
        </a:xfrm>
      </xdr:grpSpPr>
      <xdr:sp macro="" textlink="">
        <xdr:nvSpPr>
          <xdr:cNvPr id="43" name="Rectangle 325">
            <a:extLst>
              <a:ext uri="{FF2B5EF4-FFF2-40B4-BE49-F238E27FC236}">
                <a16:creationId xmlns:a16="http://schemas.microsoft.com/office/drawing/2014/main" id="{00000000-0008-0000-0600-00002B000000}"/>
              </a:ext>
            </a:extLst>
          </xdr:cNvPr>
          <xdr:cNvSpPr>
            <a:spLocks noChangeArrowheads="1"/>
          </xdr:cNvSpPr>
        </xdr:nvSpPr>
        <xdr:spPr bwMode="auto">
          <a:xfrm>
            <a:off x="0" y="1211"/>
            <a:ext cx="226" cy="14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PE" sz="1000" b="0" i="0" baseline="0">
                <a:effectLst/>
                <a:latin typeface="Arial" panose="020B0604020202020204" pitchFamily="34" charset="0"/>
                <a:ea typeface="+mn-ea"/>
                <a:cs typeface="Arial" panose="020B0604020202020204" pitchFamily="34" charset="0"/>
              </a:rPr>
              <a:t>Elaborado por Técnico Laboratorio QC:</a:t>
            </a:r>
          </a:p>
          <a:p>
            <a:pPr algn="l" rtl="0">
              <a:defRPr sz="1000"/>
            </a:pPr>
            <a:endParaRPr lang="es-PE" sz="1000" b="0" i="0" u="none" strike="noStrike" baseline="0">
              <a:solidFill>
                <a:srgbClr val="000000"/>
              </a:solidFill>
              <a:effectLst/>
              <a:latin typeface="+mn-lt"/>
              <a:ea typeface="+mn-ea"/>
              <a:cs typeface="+mn-cs"/>
            </a:endParaRP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Nombre:	</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Fecha:	</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Firma:</a:t>
            </a:r>
          </a:p>
        </xdr:txBody>
      </xdr:sp>
      <xdr:sp macro="" textlink="">
        <xdr:nvSpPr>
          <xdr:cNvPr id="44" name="Rectangle 326">
            <a:extLst>
              <a:ext uri="{FF2B5EF4-FFF2-40B4-BE49-F238E27FC236}">
                <a16:creationId xmlns:a16="http://schemas.microsoft.com/office/drawing/2014/main" id="{00000000-0008-0000-0600-00002C000000}"/>
              </a:ext>
            </a:extLst>
          </xdr:cNvPr>
          <xdr:cNvSpPr>
            <a:spLocks noChangeArrowheads="1"/>
          </xdr:cNvSpPr>
        </xdr:nvSpPr>
        <xdr:spPr bwMode="auto">
          <a:xfrm>
            <a:off x="463" y="1211"/>
            <a:ext cx="230" cy="14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PE" sz="1000" b="0" i="0" baseline="0">
                <a:effectLst/>
                <a:latin typeface="Arial" panose="020B0604020202020204" pitchFamily="34" charset="0"/>
                <a:ea typeface="+mn-ea"/>
                <a:cs typeface="Arial" panose="020B0604020202020204" pitchFamily="34" charset="0"/>
              </a:rPr>
              <a:t>Revisado por Jefe de Laboratorio QA</a:t>
            </a:r>
            <a:r>
              <a:rPr lang="es-PE" sz="1000" b="0" i="0" baseline="0">
                <a:effectLst/>
                <a:latin typeface="+mn-lt"/>
                <a:ea typeface="+mn-ea"/>
                <a:cs typeface="+mn-cs"/>
              </a:rPr>
              <a:t>:</a:t>
            </a:r>
          </a:p>
          <a:p>
            <a:pPr algn="l" rtl="0">
              <a:defRPr sz="1000"/>
            </a:pPr>
            <a:br>
              <a:rPr lang="es-PE" sz="1000" b="0" i="0" u="none" strike="noStrike" baseline="0">
                <a:solidFill>
                  <a:srgbClr val="000000"/>
                </a:solidFill>
                <a:latin typeface="Arial"/>
                <a:cs typeface="Arial"/>
              </a:rPr>
            </a:b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Nombre:</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Fecha:</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Firma:</a:t>
            </a:r>
          </a:p>
        </xdr:txBody>
      </xdr:sp>
      <xdr:sp macro="" textlink="">
        <xdr:nvSpPr>
          <xdr:cNvPr id="45" name="Rectangle 327">
            <a:extLst>
              <a:ext uri="{FF2B5EF4-FFF2-40B4-BE49-F238E27FC236}">
                <a16:creationId xmlns:a16="http://schemas.microsoft.com/office/drawing/2014/main" id="{00000000-0008-0000-0600-00002D000000}"/>
              </a:ext>
            </a:extLst>
          </xdr:cNvPr>
          <xdr:cNvSpPr>
            <a:spLocks noChangeArrowheads="1"/>
          </xdr:cNvSpPr>
        </xdr:nvSpPr>
        <xdr:spPr bwMode="auto">
          <a:xfrm>
            <a:off x="226" y="1211"/>
            <a:ext cx="238" cy="14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s-PE" sz="1000" b="0" i="0" baseline="0">
                <a:effectLst/>
                <a:latin typeface="Arial" panose="020B0604020202020204" pitchFamily="34" charset="0"/>
                <a:ea typeface="+mn-ea"/>
                <a:cs typeface="Arial" panose="020B0604020202020204" pitchFamily="34" charset="0"/>
              </a:rPr>
              <a:t>Revisado por Jefe de Laboratorio QC:</a:t>
            </a:r>
            <a:br>
              <a:rPr lang="es-PE" sz="1000" b="0" i="0" baseline="0">
                <a:effectLst/>
                <a:latin typeface="+mn-lt"/>
                <a:ea typeface="+mn-ea"/>
                <a:cs typeface="+mn-cs"/>
              </a:rPr>
            </a:br>
            <a:br>
              <a:rPr lang="es-PE" sz="1000" b="0" i="0" u="none" strike="noStrike" baseline="0">
                <a:solidFill>
                  <a:srgbClr val="000000"/>
                </a:solidFill>
                <a:latin typeface="Arial"/>
                <a:cs typeface="Arial"/>
              </a:rPr>
            </a:b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Nombre:	</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Fecha:	</a:t>
            </a:r>
          </a:p>
          <a:p>
            <a:pPr algn="l" rtl="0">
              <a:defRPr sz="1000"/>
            </a:pPr>
            <a:endParaRPr lang="es-PE" sz="1000" b="0" i="0" u="none" strike="noStrike" baseline="0">
              <a:solidFill>
                <a:srgbClr val="000000"/>
              </a:solidFill>
              <a:latin typeface="Arial"/>
              <a:cs typeface="Arial"/>
            </a:endParaRPr>
          </a:p>
          <a:p>
            <a:pPr algn="l" rtl="0">
              <a:defRPr sz="1000"/>
            </a:pPr>
            <a:r>
              <a:rPr lang="es-PE" sz="1000" b="0" i="0" u="none" strike="noStrike" baseline="0">
                <a:solidFill>
                  <a:srgbClr val="000000"/>
                </a:solidFill>
                <a:latin typeface="Arial"/>
                <a:cs typeface="Arial"/>
              </a:rPr>
              <a:t>Firma:</a:t>
            </a:r>
          </a:p>
        </xdr:txBody>
      </xdr:sp>
      <xdr:sp macro="" textlink="">
        <xdr:nvSpPr>
          <xdr:cNvPr id="46" name="Rectangle 328">
            <a:extLst>
              <a:ext uri="{FF2B5EF4-FFF2-40B4-BE49-F238E27FC236}">
                <a16:creationId xmlns:a16="http://schemas.microsoft.com/office/drawing/2014/main" id="{00000000-0008-0000-0600-00002E000000}"/>
              </a:ext>
            </a:extLst>
          </xdr:cNvPr>
          <xdr:cNvSpPr>
            <a:spLocks noChangeArrowheads="1"/>
          </xdr:cNvSpPr>
        </xdr:nvSpPr>
        <xdr:spPr bwMode="auto">
          <a:xfrm>
            <a:off x="693" y="1211"/>
            <a:ext cx="235" cy="14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PE" sz="1000" b="0" i="0">
                <a:effectLst/>
                <a:latin typeface="Arial" panose="020B0604020202020204" pitchFamily="34" charset="0"/>
                <a:ea typeface="+mn-ea"/>
                <a:cs typeface="Arial" panose="020B0604020202020204" pitchFamily="34" charset="0"/>
              </a:rPr>
              <a:t>Aprobado por SMCV:</a:t>
            </a:r>
          </a:p>
          <a:p>
            <a:pPr algn="l" rtl="0">
              <a:defRPr sz="1000"/>
            </a:pPr>
            <a:br>
              <a:rPr lang="es-PE" sz="1000" b="0" i="0" strike="noStrike">
                <a:solidFill>
                  <a:srgbClr val="000000"/>
                </a:solidFill>
                <a:latin typeface="Arial"/>
                <a:cs typeface="Arial"/>
              </a:rPr>
            </a:b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Nombre:</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Fecha:</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Firma:</a:t>
            </a:r>
          </a:p>
        </xdr:txBody>
      </xdr:sp>
      <xdr:grpSp>
        <xdr:nvGrpSpPr>
          <xdr:cNvPr id="47" name="Group 329">
            <a:extLst>
              <a:ext uri="{FF2B5EF4-FFF2-40B4-BE49-F238E27FC236}">
                <a16:creationId xmlns:a16="http://schemas.microsoft.com/office/drawing/2014/main" id="{00000000-0008-0000-0600-00002F000000}"/>
              </a:ext>
            </a:extLst>
          </xdr:cNvPr>
          <xdr:cNvGrpSpPr>
            <a:grpSpLocks/>
          </xdr:cNvGrpSpPr>
        </xdr:nvGrpSpPr>
        <xdr:grpSpPr bwMode="auto">
          <a:xfrm>
            <a:off x="57" y="1265"/>
            <a:ext cx="164" cy="60"/>
            <a:chOff x="57" y="1265"/>
            <a:chExt cx="164" cy="60"/>
          </a:xfrm>
        </xdr:grpSpPr>
        <xdr:sp macro="" textlink="">
          <xdr:nvSpPr>
            <xdr:cNvPr id="60" name="Line 330">
              <a:extLst>
                <a:ext uri="{FF2B5EF4-FFF2-40B4-BE49-F238E27FC236}">
                  <a16:creationId xmlns:a16="http://schemas.microsoft.com/office/drawing/2014/main" id="{00000000-0008-0000-0600-00003C000000}"/>
                </a:ext>
              </a:extLst>
            </xdr:cNvPr>
            <xdr:cNvSpPr>
              <a:spLocks noChangeShapeType="1"/>
            </xdr:cNvSpPr>
          </xdr:nvSpPr>
          <xdr:spPr bwMode="auto">
            <a:xfrm flipV="1">
              <a:off x="58" y="126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331">
              <a:extLst>
                <a:ext uri="{FF2B5EF4-FFF2-40B4-BE49-F238E27FC236}">
                  <a16:creationId xmlns:a16="http://schemas.microsoft.com/office/drawing/2014/main" id="{00000000-0008-0000-0600-00003D000000}"/>
                </a:ext>
              </a:extLst>
            </xdr:cNvPr>
            <xdr:cNvSpPr>
              <a:spLocks noChangeShapeType="1"/>
            </xdr:cNvSpPr>
          </xdr:nvSpPr>
          <xdr:spPr bwMode="auto">
            <a:xfrm flipV="1">
              <a:off x="58" y="1296"/>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332">
              <a:extLst>
                <a:ext uri="{FF2B5EF4-FFF2-40B4-BE49-F238E27FC236}">
                  <a16:creationId xmlns:a16="http://schemas.microsoft.com/office/drawing/2014/main" id="{00000000-0008-0000-0600-00003E000000}"/>
                </a:ext>
              </a:extLst>
            </xdr:cNvPr>
            <xdr:cNvSpPr>
              <a:spLocks noChangeShapeType="1"/>
            </xdr:cNvSpPr>
          </xdr:nvSpPr>
          <xdr:spPr bwMode="auto">
            <a:xfrm flipV="1">
              <a:off x="57" y="132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8" name="Group 333">
            <a:extLst>
              <a:ext uri="{FF2B5EF4-FFF2-40B4-BE49-F238E27FC236}">
                <a16:creationId xmlns:a16="http://schemas.microsoft.com/office/drawing/2014/main" id="{00000000-0008-0000-0600-000030000000}"/>
              </a:ext>
            </a:extLst>
          </xdr:cNvPr>
          <xdr:cNvGrpSpPr>
            <a:grpSpLocks/>
          </xdr:cNvGrpSpPr>
        </xdr:nvGrpSpPr>
        <xdr:grpSpPr bwMode="auto">
          <a:xfrm>
            <a:off x="279" y="1267"/>
            <a:ext cx="181" cy="60"/>
            <a:chOff x="47" y="1265"/>
            <a:chExt cx="181" cy="60"/>
          </a:xfrm>
        </xdr:grpSpPr>
        <xdr:sp macro="" textlink="">
          <xdr:nvSpPr>
            <xdr:cNvPr id="57" name="Line 334">
              <a:extLst>
                <a:ext uri="{FF2B5EF4-FFF2-40B4-BE49-F238E27FC236}">
                  <a16:creationId xmlns:a16="http://schemas.microsoft.com/office/drawing/2014/main" id="{00000000-0008-0000-0600-000039000000}"/>
                </a:ext>
              </a:extLst>
            </xdr:cNvPr>
            <xdr:cNvSpPr>
              <a:spLocks noChangeShapeType="1"/>
            </xdr:cNvSpPr>
          </xdr:nvSpPr>
          <xdr:spPr bwMode="auto">
            <a:xfrm flipV="1">
              <a:off x="49" y="1265"/>
              <a:ext cx="17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p>
              <a:endParaRPr lang="es-PE"/>
            </a:p>
          </xdr:txBody>
        </xdr:sp>
        <xdr:sp macro="" textlink="">
          <xdr:nvSpPr>
            <xdr:cNvPr id="58" name="Line 335">
              <a:extLst>
                <a:ext uri="{FF2B5EF4-FFF2-40B4-BE49-F238E27FC236}">
                  <a16:creationId xmlns:a16="http://schemas.microsoft.com/office/drawing/2014/main" id="{00000000-0008-0000-0600-00003A000000}"/>
                </a:ext>
              </a:extLst>
            </xdr:cNvPr>
            <xdr:cNvSpPr>
              <a:spLocks noChangeShapeType="1"/>
            </xdr:cNvSpPr>
          </xdr:nvSpPr>
          <xdr:spPr bwMode="auto">
            <a:xfrm flipV="1">
              <a:off x="48" y="1296"/>
              <a:ext cx="17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336">
              <a:extLst>
                <a:ext uri="{FF2B5EF4-FFF2-40B4-BE49-F238E27FC236}">
                  <a16:creationId xmlns:a16="http://schemas.microsoft.com/office/drawing/2014/main" id="{00000000-0008-0000-0600-00003B000000}"/>
                </a:ext>
              </a:extLst>
            </xdr:cNvPr>
            <xdr:cNvSpPr>
              <a:spLocks noChangeShapeType="1"/>
            </xdr:cNvSpPr>
          </xdr:nvSpPr>
          <xdr:spPr bwMode="auto">
            <a:xfrm flipV="1">
              <a:off x="47" y="1325"/>
              <a:ext cx="17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9" name="Group 337">
            <a:extLst>
              <a:ext uri="{FF2B5EF4-FFF2-40B4-BE49-F238E27FC236}">
                <a16:creationId xmlns:a16="http://schemas.microsoft.com/office/drawing/2014/main" id="{00000000-0008-0000-0600-000031000000}"/>
              </a:ext>
            </a:extLst>
          </xdr:cNvPr>
          <xdr:cNvGrpSpPr>
            <a:grpSpLocks/>
          </xdr:cNvGrpSpPr>
        </xdr:nvGrpSpPr>
        <xdr:grpSpPr bwMode="auto">
          <a:xfrm>
            <a:off x="518" y="1266"/>
            <a:ext cx="164" cy="60"/>
            <a:chOff x="61" y="1265"/>
            <a:chExt cx="164" cy="60"/>
          </a:xfrm>
        </xdr:grpSpPr>
        <xdr:sp macro="" textlink="">
          <xdr:nvSpPr>
            <xdr:cNvPr id="54" name="Line 338">
              <a:extLst>
                <a:ext uri="{FF2B5EF4-FFF2-40B4-BE49-F238E27FC236}">
                  <a16:creationId xmlns:a16="http://schemas.microsoft.com/office/drawing/2014/main" id="{00000000-0008-0000-0600-000036000000}"/>
                </a:ext>
              </a:extLst>
            </xdr:cNvPr>
            <xdr:cNvSpPr>
              <a:spLocks noChangeShapeType="1"/>
            </xdr:cNvSpPr>
          </xdr:nvSpPr>
          <xdr:spPr bwMode="auto">
            <a:xfrm flipV="1">
              <a:off x="62" y="126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339">
              <a:extLst>
                <a:ext uri="{FF2B5EF4-FFF2-40B4-BE49-F238E27FC236}">
                  <a16:creationId xmlns:a16="http://schemas.microsoft.com/office/drawing/2014/main" id="{00000000-0008-0000-0600-000037000000}"/>
                </a:ext>
              </a:extLst>
            </xdr:cNvPr>
            <xdr:cNvSpPr>
              <a:spLocks noChangeShapeType="1"/>
            </xdr:cNvSpPr>
          </xdr:nvSpPr>
          <xdr:spPr bwMode="auto">
            <a:xfrm flipV="1">
              <a:off x="61" y="1296"/>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340">
              <a:extLst>
                <a:ext uri="{FF2B5EF4-FFF2-40B4-BE49-F238E27FC236}">
                  <a16:creationId xmlns:a16="http://schemas.microsoft.com/office/drawing/2014/main" id="{00000000-0008-0000-0600-000038000000}"/>
                </a:ext>
              </a:extLst>
            </xdr:cNvPr>
            <xdr:cNvSpPr>
              <a:spLocks noChangeShapeType="1"/>
            </xdr:cNvSpPr>
          </xdr:nvSpPr>
          <xdr:spPr bwMode="auto">
            <a:xfrm flipV="1">
              <a:off x="61" y="132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0" name="Group 341">
            <a:extLst>
              <a:ext uri="{FF2B5EF4-FFF2-40B4-BE49-F238E27FC236}">
                <a16:creationId xmlns:a16="http://schemas.microsoft.com/office/drawing/2014/main" id="{00000000-0008-0000-0600-000032000000}"/>
              </a:ext>
            </a:extLst>
          </xdr:cNvPr>
          <xdr:cNvGrpSpPr>
            <a:grpSpLocks/>
          </xdr:cNvGrpSpPr>
        </xdr:nvGrpSpPr>
        <xdr:grpSpPr bwMode="auto">
          <a:xfrm>
            <a:off x="750" y="1265"/>
            <a:ext cx="164" cy="60"/>
            <a:chOff x="61" y="1265"/>
            <a:chExt cx="164" cy="60"/>
          </a:xfrm>
        </xdr:grpSpPr>
        <xdr:sp macro="" textlink="">
          <xdr:nvSpPr>
            <xdr:cNvPr id="51" name="Line 342">
              <a:extLst>
                <a:ext uri="{FF2B5EF4-FFF2-40B4-BE49-F238E27FC236}">
                  <a16:creationId xmlns:a16="http://schemas.microsoft.com/office/drawing/2014/main" id="{00000000-0008-0000-0600-000033000000}"/>
                </a:ext>
              </a:extLst>
            </xdr:cNvPr>
            <xdr:cNvSpPr>
              <a:spLocks noChangeShapeType="1"/>
            </xdr:cNvSpPr>
          </xdr:nvSpPr>
          <xdr:spPr bwMode="auto">
            <a:xfrm flipV="1">
              <a:off x="62" y="126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343">
              <a:extLst>
                <a:ext uri="{FF2B5EF4-FFF2-40B4-BE49-F238E27FC236}">
                  <a16:creationId xmlns:a16="http://schemas.microsoft.com/office/drawing/2014/main" id="{00000000-0008-0000-0600-000034000000}"/>
                </a:ext>
              </a:extLst>
            </xdr:cNvPr>
            <xdr:cNvSpPr>
              <a:spLocks noChangeShapeType="1"/>
            </xdr:cNvSpPr>
          </xdr:nvSpPr>
          <xdr:spPr bwMode="auto">
            <a:xfrm flipV="1">
              <a:off x="61" y="1296"/>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344">
              <a:extLst>
                <a:ext uri="{FF2B5EF4-FFF2-40B4-BE49-F238E27FC236}">
                  <a16:creationId xmlns:a16="http://schemas.microsoft.com/office/drawing/2014/main" id="{00000000-0008-0000-0600-000035000000}"/>
                </a:ext>
              </a:extLst>
            </xdr:cNvPr>
            <xdr:cNvSpPr>
              <a:spLocks noChangeShapeType="1"/>
            </xdr:cNvSpPr>
          </xdr:nvSpPr>
          <xdr:spPr bwMode="auto">
            <a:xfrm flipV="1">
              <a:off x="61" y="1325"/>
              <a:ext cx="1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twoCellAnchor editAs="oneCell">
    <xdr:from>
      <xdr:col>9</xdr:col>
      <xdr:colOff>71005</xdr:colOff>
      <xdr:row>0</xdr:row>
      <xdr:rowOff>152400</xdr:rowOff>
    </xdr:from>
    <xdr:to>
      <xdr:col>10</xdr:col>
      <xdr:colOff>709181</xdr:colOff>
      <xdr:row>3</xdr:row>
      <xdr:rowOff>111696</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6123710" y="152400"/>
          <a:ext cx="1365538" cy="634705"/>
        </a:xfrm>
        <a:prstGeom prst="rect">
          <a:avLst/>
        </a:prstGeom>
      </xdr:spPr>
    </xdr:pic>
    <xdr:clientData/>
  </xdr:twoCellAnchor>
  <xdr:twoCellAnchor>
    <xdr:from>
      <xdr:col>10</xdr:col>
      <xdr:colOff>28575</xdr:colOff>
      <xdr:row>27</xdr:row>
      <xdr:rowOff>95250</xdr:rowOff>
    </xdr:from>
    <xdr:to>
      <xdr:col>13</xdr:col>
      <xdr:colOff>952500</xdr:colOff>
      <xdr:row>34</xdr:row>
      <xdr:rowOff>171450</xdr:rowOff>
    </xdr:to>
    <xdr:grpSp>
      <xdr:nvGrpSpPr>
        <xdr:cNvPr id="5" name="36 Grupo">
          <a:extLst>
            <a:ext uri="{FF2B5EF4-FFF2-40B4-BE49-F238E27FC236}">
              <a16:creationId xmlns:a16="http://schemas.microsoft.com/office/drawing/2014/main" id="{00000000-0008-0000-0600-000005000000}"/>
            </a:ext>
          </a:extLst>
        </xdr:cNvPr>
        <xdr:cNvGrpSpPr/>
      </xdr:nvGrpSpPr>
      <xdr:grpSpPr>
        <a:xfrm>
          <a:off x="6535392" y="5422624"/>
          <a:ext cx="2832238" cy="1421296"/>
          <a:chOff x="71438" y="6592573"/>
          <a:chExt cx="8748220" cy="814568"/>
        </a:xfrm>
      </xdr:grpSpPr>
      <xdr:cxnSp macro="">
        <xdr:nvCxnSpPr>
          <xdr:cNvPr id="6" name="32 Conector recto">
            <a:extLst>
              <a:ext uri="{FF2B5EF4-FFF2-40B4-BE49-F238E27FC236}">
                <a16:creationId xmlns:a16="http://schemas.microsoft.com/office/drawing/2014/main" id="{00000000-0008-0000-0600-000006000000}"/>
              </a:ext>
            </a:extLst>
          </xdr:cNvPr>
          <xdr:cNvCxnSpPr/>
        </xdr:nvCxnSpPr>
        <xdr:spPr>
          <a:xfrm>
            <a:off x="71438" y="6598526"/>
            <a:ext cx="7546879" cy="0"/>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7" name="33 Conector recto">
            <a:extLst>
              <a:ext uri="{FF2B5EF4-FFF2-40B4-BE49-F238E27FC236}">
                <a16:creationId xmlns:a16="http://schemas.microsoft.com/office/drawing/2014/main" id="{00000000-0008-0000-0600-000007000000}"/>
              </a:ext>
            </a:extLst>
          </xdr:cNvPr>
          <xdr:cNvCxnSpPr/>
        </xdr:nvCxnSpPr>
        <xdr:spPr>
          <a:xfrm>
            <a:off x="7618317" y="6592573"/>
            <a:ext cx="1201341" cy="814568"/>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76200</xdr:colOff>
      <xdr:row>8</xdr:row>
      <xdr:rowOff>114300</xdr:rowOff>
    </xdr:from>
    <xdr:to>
      <xdr:col>8</xdr:col>
      <xdr:colOff>57150</xdr:colOff>
      <xdr:row>8</xdr:row>
      <xdr:rowOff>200025</xdr:rowOff>
    </xdr:to>
    <xdr:grpSp>
      <xdr:nvGrpSpPr>
        <xdr:cNvPr id="8" name="36 Grupo">
          <a:extLst>
            <a:ext uri="{FF2B5EF4-FFF2-40B4-BE49-F238E27FC236}">
              <a16:creationId xmlns:a16="http://schemas.microsoft.com/office/drawing/2014/main" id="{00000000-0008-0000-0600-000008000000}"/>
            </a:ext>
          </a:extLst>
        </xdr:cNvPr>
        <xdr:cNvGrpSpPr/>
      </xdr:nvGrpSpPr>
      <xdr:grpSpPr>
        <a:xfrm>
          <a:off x="1745974" y="1969604"/>
          <a:ext cx="3360254" cy="85725"/>
          <a:chOff x="71438" y="6592573"/>
          <a:chExt cx="8748220" cy="814568"/>
        </a:xfrm>
      </xdr:grpSpPr>
      <xdr:cxnSp macro="">
        <xdr:nvCxnSpPr>
          <xdr:cNvPr id="9" name="32 Conector recto">
            <a:extLst>
              <a:ext uri="{FF2B5EF4-FFF2-40B4-BE49-F238E27FC236}">
                <a16:creationId xmlns:a16="http://schemas.microsoft.com/office/drawing/2014/main" id="{00000000-0008-0000-0600-000009000000}"/>
              </a:ext>
            </a:extLst>
          </xdr:cNvPr>
          <xdr:cNvCxnSpPr/>
        </xdr:nvCxnSpPr>
        <xdr:spPr>
          <a:xfrm>
            <a:off x="71438" y="6598526"/>
            <a:ext cx="7546879" cy="0"/>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10" name="33 Conector recto">
            <a:extLst>
              <a:ext uri="{FF2B5EF4-FFF2-40B4-BE49-F238E27FC236}">
                <a16:creationId xmlns:a16="http://schemas.microsoft.com/office/drawing/2014/main" id="{00000000-0008-0000-0600-00000A000000}"/>
              </a:ext>
            </a:extLst>
          </xdr:cNvPr>
          <xdr:cNvCxnSpPr/>
        </xdr:nvCxnSpPr>
        <xdr:spPr>
          <a:xfrm>
            <a:off x="7618317" y="6592573"/>
            <a:ext cx="1201341" cy="814568"/>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19049</xdr:colOff>
      <xdr:row>15</xdr:row>
      <xdr:rowOff>104775</xdr:rowOff>
    </xdr:from>
    <xdr:to>
      <xdr:col>13</xdr:col>
      <xdr:colOff>942974</xdr:colOff>
      <xdr:row>23</xdr:row>
      <xdr:rowOff>152400</xdr:rowOff>
    </xdr:to>
    <xdr:grpSp>
      <xdr:nvGrpSpPr>
        <xdr:cNvPr id="11" name="42 Grupo">
          <a:extLst>
            <a:ext uri="{FF2B5EF4-FFF2-40B4-BE49-F238E27FC236}">
              <a16:creationId xmlns:a16="http://schemas.microsoft.com/office/drawing/2014/main" id="{00000000-0008-0000-0600-00000B000000}"/>
            </a:ext>
          </a:extLst>
        </xdr:cNvPr>
        <xdr:cNvGrpSpPr/>
      </xdr:nvGrpSpPr>
      <xdr:grpSpPr>
        <a:xfrm>
          <a:off x="7983606" y="3397940"/>
          <a:ext cx="1374498" cy="1392721"/>
          <a:chOff x="71438" y="6598526"/>
          <a:chExt cx="8748220" cy="808615"/>
        </a:xfrm>
      </xdr:grpSpPr>
      <xdr:cxnSp macro="">
        <xdr:nvCxnSpPr>
          <xdr:cNvPr id="12" name="43 Conector recto">
            <a:extLst>
              <a:ext uri="{FF2B5EF4-FFF2-40B4-BE49-F238E27FC236}">
                <a16:creationId xmlns:a16="http://schemas.microsoft.com/office/drawing/2014/main" id="{00000000-0008-0000-0600-00000C000000}"/>
              </a:ext>
            </a:extLst>
          </xdr:cNvPr>
          <xdr:cNvCxnSpPr/>
        </xdr:nvCxnSpPr>
        <xdr:spPr>
          <a:xfrm>
            <a:off x="71438" y="6598526"/>
            <a:ext cx="7636510" cy="1"/>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13" name="44 Conector recto">
            <a:extLst>
              <a:ext uri="{FF2B5EF4-FFF2-40B4-BE49-F238E27FC236}">
                <a16:creationId xmlns:a16="http://schemas.microsoft.com/office/drawing/2014/main" id="{00000000-0008-0000-0600-00000D000000}"/>
              </a:ext>
            </a:extLst>
          </xdr:cNvPr>
          <xdr:cNvCxnSpPr/>
        </xdr:nvCxnSpPr>
        <xdr:spPr>
          <a:xfrm>
            <a:off x="7700452" y="6600984"/>
            <a:ext cx="1119206" cy="806157"/>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223630</xdr:colOff>
      <xdr:row>35</xdr:row>
      <xdr:rowOff>132522</xdr:rowOff>
    </xdr:from>
    <xdr:to>
      <xdr:col>13</xdr:col>
      <xdr:colOff>827889</xdr:colOff>
      <xdr:row>56</xdr:row>
      <xdr:rowOff>107103</xdr:rowOff>
    </xdr:to>
    <xdr:graphicFrame macro="">
      <xdr:nvGraphicFramePr>
        <xdr:cNvPr id="16" name="Chart 11">
          <a:extLst>
            <a:ext uri="{FF2B5EF4-FFF2-40B4-BE49-F238E27FC236}">
              <a16:creationId xmlns:a16="http://schemas.microsoft.com/office/drawing/2014/main" id="{00000000-0008-0000-06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313765</xdr:colOff>
      <xdr:row>71</xdr:row>
      <xdr:rowOff>89647</xdr:rowOff>
    </xdr:from>
    <xdr:to>
      <xdr:col>13</xdr:col>
      <xdr:colOff>935691</xdr:colOff>
      <xdr:row>72</xdr:row>
      <xdr:rowOff>162485</xdr:rowOff>
    </xdr:to>
    <xdr:grpSp>
      <xdr:nvGrpSpPr>
        <xdr:cNvPr id="14" name="36 Grupo">
          <a:extLst>
            <a:ext uri="{FF2B5EF4-FFF2-40B4-BE49-F238E27FC236}">
              <a16:creationId xmlns:a16="http://schemas.microsoft.com/office/drawing/2014/main" id="{00000000-0008-0000-0600-00000E000000}"/>
            </a:ext>
          </a:extLst>
        </xdr:cNvPr>
        <xdr:cNvGrpSpPr/>
      </xdr:nvGrpSpPr>
      <xdr:grpSpPr>
        <a:xfrm>
          <a:off x="406530" y="13103282"/>
          <a:ext cx="8944291" cy="238490"/>
          <a:chOff x="71438" y="6592573"/>
          <a:chExt cx="8748220" cy="814568"/>
        </a:xfrm>
      </xdr:grpSpPr>
      <xdr:cxnSp macro="">
        <xdr:nvCxnSpPr>
          <xdr:cNvPr id="15" name="32 Conector recto">
            <a:extLst>
              <a:ext uri="{FF2B5EF4-FFF2-40B4-BE49-F238E27FC236}">
                <a16:creationId xmlns:a16="http://schemas.microsoft.com/office/drawing/2014/main" id="{00000000-0008-0000-0600-00000F000000}"/>
              </a:ext>
            </a:extLst>
          </xdr:cNvPr>
          <xdr:cNvCxnSpPr/>
        </xdr:nvCxnSpPr>
        <xdr:spPr>
          <a:xfrm>
            <a:off x="71438" y="6598526"/>
            <a:ext cx="7546879" cy="0"/>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xnSp macro="">
        <xdr:nvCxnSpPr>
          <xdr:cNvPr id="17" name="33 Conector recto">
            <a:extLst>
              <a:ext uri="{FF2B5EF4-FFF2-40B4-BE49-F238E27FC236}">
                <a16:creationId xmlns:a16="http://schemas.microsoft.com/office/drawing/2014/main" id="{00000000-0008-0000-0600-000011000000}"/>
              </a:ext>
            </a:extLst>
          </xdr:cNvPr>
          <xdr:cNvCxnSpPr/>
        </xdr:nvCxnSpPr>
        <xdr:spPr>
          <a:xfrm>
            <a:off x="7618317" y="6592573"/>
            <a:ext cx="1201341" cy="814568"/>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9.xml><?xml version="1.0" encoding="utf-8"?>
<c:userShapes xmlns:c="http://schemas.openxmlformats.org/drawingml/2006/chart">
  <cdr:relSizeAnchor xmlns:cdr="http://schemas.openxmlformats.org/drawingml/2006/chartDrawing">
    <cdr:from>
      <cdr:x>0.49291</cdr:x>
      <cdr:y>0.61906</cdr:y>
    </cdr:from>
    <cdr:to>
      <cdr:x>0.49543</cdr:x>
      <cdr:y>0.68395</cdr:y>
    </cdr:to>
    <cdr:sp macro="" textlink="">
      <cdr:nvSpPr>
        <cdr:cNvPr id="99329" name="Text Box 1"/>
        <cdr:cNvSpPr txBox="1">
          <a:spLocks xmlns:a="http://schemas.openxmlformats.org/drawingml/2006/main" noChangeArrowheads="1"/>
        </cdr:cNvSpPr>
      </cdr:nvSpPr>
      <cdr:spPr bwMode="auto">
        <a:xfrm xmlns:a="http://schemas.openxmlformats.org/drawingml/2006/main">
          <a:off x="3629210" y="1863309"/>
          <a:ext cx="18531" cy="19531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endParaRPr lang="es-PE"/>
        </a:p>
      </cdr:txBody>
    </cdr:sp>
  </cdr:relSizeAnchor>
  <cdr:relSizeAnchor xmlns:cdr="http://schemas.openxmlformats.org/drawingml/2006/chartDrawing">
    <cdr:from>
      <cdr:x>0.49291</cdr:x>
      <cdr:y>0.61906</cdr:y>
    </cdr:from>
    <cdr:to>
      <cdr:x>0.49543</cdr:x>
      <cdr:y>0.68395</cdr:y>
    </cdr:to>
    <cdr:sp macro="" textlink="">
      <cdr:nvSpPr>
        <cdr:cNvPr id="2" name="Text Box 1"/>
        <cdr:cNvSpPr txBox="1">
          <a:spLocks xmlns:a="http://schemas.openxmlformats.org/drawingml/2006/main" noChangeArrowheads="1"/>
        </cdr:cNvSpPr>
      </cdr:nvSpPr>
      <cdr:spPr bwMode="auto">
        <a:xfrm xmlns:a="http://schemas.openxmlformats.org/drawingml/2006/main">
          <a:off x="3629210" y="1863309"/>
          <a:ext cx="18531" cy="19531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endParaRPr lang="es-PE"/>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ad1\My%20Documents\javier\asfalto\produccion%20agregados\produccion%20agregados\91-0494-EMSR-03-00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erencia\ESTUDIO%20DE%20SUELOS%20-%20NAZCA\NUEVOS%20FORMATOS\IMFORME%20LABORATORIO\FUENTES\FUENTE%20ORIGINAL%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UARIO-PC\Users\WINDOWS\Escritorio\LABORATORIO\Suelo\Densidades\@Laboratorio\5%20Asfalto\AGOST%201998\granulometria10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nise\JULIOMD\Marcona\BASE%20GRANULAR%20PATRO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Laboratorio\Calicatas%20de%20Pistas\GRANULOMETRI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SUARIO-PC\Users\Documents%20and%20Settings\GMIxp\Escritorio\Marcona\BASE%20GRANULAR%20PATR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Personal\Laboratorio\Laboratorio\Seguimiento%20de%20Obra%20-%20Laboratorio\Final-Final\Pavimentos\Base%20Granular%20ok\Ensayos%20ok\Marcona\BASE%20GRANULAR%20PATR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Mis%20documentos\ENSAYOS\CBR\MOLDE%20CBR%20FINOS.xlt"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UARIO-PC\Users\WINDOWS\Escritorio\Informe%20de%20Enero\Materiales\WINDOWS\Escritorio\LABORATORIO\Suelo\Densidades\@Laboratorio\5%20Asfalto\AGOST%201998\granulometria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nulometria01"/>
      <sheetName val="F-003"/>
      <sheetName val="F-004"/>
      <sheetName val="F-005"/>
      <sheetName val="CORRECCION"/>
      <sheetName val="91-0494-EMSR-03-000022"/>
      <sheetName val="Hoja1"/>
      <sheetName val="#¡REF"/>
      <sheetName val="F-002"/>
      <sheetName val="F-001"/>
      <sheetName val="F-022"/>
      <sheetName val="Clasificacion"/>
      <sheetName val="Limite"/>
      <sheetName val="Clasificacion L"/>
      <sheetName val="Clasificacion L (3)"/>
      <sheetName val="LIMITES"/>
      <sheetName val="RESUMEN_2B INTRUSIVO"/>
      <sheetName val="RESUMEN"/>
      <sheetName val="ASTM D422 - 6913"/>
      <sheetName val="ASTM D4318"/>
      <sheetName val="ASTM D2487"/>
      <sheetName val="1"/>
      <sheetName val="2"/>
      <sheetName val="3"/>
      <sheetName val="C-2"/>
      <sheetName val="6"/>
      <sheetName val="7"/>
      <sheetName val="8"/>
      <sheetName val="9"/>
      <sheetName val="10"/>
      <sheetName val="C-7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2">
          <cell r="A2">
            <v>0</v>
          </cell>
        </row>
      </sheetData>
      <sheetData sheetId="17"/>
      <sheetData sheetId="18">
        <row r="2">
          <cell r="C2">
            <v>0</v>
          </cell>
        </row>
      </sheetData>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Clas. (2)"/>
      <sheetName val="1"/>
      <sheetName val="Granul. 1"/>
      <sheetName val="limites1 Nº 40"/>
      <sheetName val="Humedad"/>
      <sheetName val="Proct. 1"/>
      <sheetName val="cbr datos 1"/>
      <sheetName val="cbr graficos 1"/>
      <sheetName val="E.A."/>
      <sheetName val="Car"/>
      <sheetName val="chatas"/>
      <sheetName val="abracion"/>
      <sheetName val="ARCILLAS"/>
      <sheetName val="durabilidad"/>
      <sheetName val="PUS"/>
      <sheetName val="PUC"/>
      <sheetName val="sales sol."/>
      <sheetName val="Nº200"/>
      <sheetName val="M O"/>
      <sheetName val="CBR SITU"/>
      <sheetName val="CI"/>
      <sheetName val="p"/>
      <sheetName val="Den"/>
      <sheetName val="P.E"/>
      <sheetName val="Silice"/>
      <sheetName val="F-002"/>
      <sheetName val="granulometria1000"/>
      <sheetName val="F-001"/>
      <sheetName val="Hoja1"/>
      <sheetName val="Hoja2"/>
      <sheetName val="Hoja3"/>
    </sheetNames>
    <sheetDataSet>
      <sheetData sheetId="0"/>
      <sheetData sheetId="1"/>
      <sheetData sheetId="2"/>
      <sheetData sheetId="3" refreshError="1">
        <row r="41">
          <cell r="G41">
            <v>60.919999999999987</v>
          </cell>
        </row>
        <row r="52">
          <cell r="G52">
            <v>94.16</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6">
          <cell r="A6" t="str">
            <v>TEST DE COMPRESIÓN NO-CONFINADA SUELOS COHESIVOS</v>
          </cell>
        </row>
        <row r="7">
          <cell r="A7" t="str">
            <v>ASTM Standard D 2166-91: Método de Ensayo Para Determinar la Resistencia a la Compresión Inconfinada de Suelos Cohesivos.</v>
          </cell>
        </row>
        <row r="8">
          <cell r="A8" t="str">
            <v>Proyecto:</v>
          </cell>
          <cell r="B8" t="str">
            <v>CARRETERA INTEROCEÁNICA SUR</v>
          </cell>
          <cell r="F8" t="str">
            <v>CLASF. (SUCS) :</v>
          </cell>
          <cell r="G8" t="str">
            <v>A-1-b ( 0 )</v>
          </cell>
        </row>
        <row r="9">
          <cell r="A9" t="str">
            <v>Profundidad:</v>
          </cell>
          <cell r="B9"/>
          <cell r="F9" t="str">
            <v>CLASF. (AASHTO) :</v>
          </cell>
          <cell r="G9" t="str">
            <v>GM</v>
          </cell>
          <cell r="I9" t="str">
            <v>HECHO POR :</v>
          </cell>
          <cell r="J9" t="str">
            <v>HCP</v>
          </cell>
        </row>
        <row r="10">
          <cell r="A10" t="str">
            <v>Muestra Nº:</v>
          </cell>
          <cell r="B10" t="str">
            <v>MACUSANI - M1</v>
          </cell>
          <cell r="F10" t="str">
            <v>Fecha Test:</v>
          </cell>
          <cell r="G10">
            <v>39359</v>
          </cell>
          <cell r="I10" t="str">
            <v>REVISADO :</v>
          </cell>
          <cell r="J10" t="str">
            <v>ING. ROBERTO LÓPEZ LAZO</v>
          </cell>
        </row>
        <row r="11">
          <cell r="A11" t="str">
            <v>Descripción Visual de la Muestra:</v>
          </cell>
          <cell r="B11" t="str">
            <v>Grava pobremente gradada con arcilla y arena</v>
          </cell>
          <cell r="F11" t="str">
            <v>Sondeo:</v>
          </cell>
          <cell r="G11" t="str">
            <v>S1</v>
          </cell>
          <cell r="I11" t="str">
            <v>ING. RESPONSABLE :</v>
          </cell>
          <cell r="J11" t="str">
            <v>ING. CARLOS ALBERTO SANTOS</v>
          </cell>
        </row>
        <row r="12">
          <cell r="F12" t="str">
            <v>Espécimen</v>
          </cell>
          <cell r="G12" t="str">
            <v xml:space="preserve">Tipo: </v>
          </cell>
          <cell r="H12" t="str">
            <v>Inalterado</v>
          </cell>
          <cell r="I12" t="str">
            <v>LADO :</v>
          </cell>
          <cell r="J12" t="str">
            <v>Izquierdo</v>
          </cell>
        </row>
        <row r="13">
          <cell r="A13" t="str">
            <v>Método:</v>
          </cell>
          <cell r="B13" t="str">
            <v>- Deformación Controlada</v>
          </cell>
          <cell r="G13" t="str">
            <v xml:space="preserve">Forma: </v>
          </cell>
          <cell r="H13" t="str">
            <v>Cilíndrico</v>
          </cell>
          <cell r="I13" t="str">
            <v>PROGRESIVA :</v>
          </cell>
          <cell r="J13" t="str">
            <v>KM: 188+000</v>
          </cell>
        </row>
        <row r="14">
          <cell r="A14" t="str">
            <v xml:space="preserve">Deformímetro
 △н        </v>
          </cell>
          <cell r="B14" t="str">
            <v>Def. Unit.
Strain, ε</v>
          </cell>
          <cell r="C14" t="str">
            <v>1.0-Def. Unit.</v>
          </cell>
          <cell r="D14" t="str">
            <v>Anillo de Carga</v>
          </cell>
          <cell r="E14" t="str">
            <v>Carga,
Р</v>
          </cell>
          <cell r="F14" t="str">
            <v>Área Correg.,
Aс</v>
          </cell>
          <cell r="G14" t="str">
            <v>Esfuerzo Desviador
Stress: σ₁- σ₃= σ</v>
          </cell>
          <cell r="J14" t="str">
            <v>Dimensiones Promediadas de la Muestra (Tamaño de la Probeta ya Tallada)</v>
          </cell>
        </row>
        <row r="15">
          <cell r="A15" t="str">
            <v xml:space="preserve">0.001 Pulg. </v>
          </cell>
          <cell r="B15" t="str">
            <v>[Δн/Нo]</v>
          </cell>
          <cell r="C15" t="str">
            <v>[ 1.0-ε ]</v>
          </cell>
          <cell r="D15" t="str">
            <v>0.0001"</v>
          </cell>
          <cell r="E15" t="str">
            <v>㎏.</v>
          </cell>
          <cell r="F15" t="str">
            <v>㎠</v>
          </cell>
          <cell r="G15" t="str">
            <v>㎏/㎠</v>
          </cell>
          <cell r="H15" t="str">
            <v>kPa</v>
          </cell>
          <cell r="J15" t="str">
            <v xml:space="preserve">Diámetro. Prom. Base, Do (㎝) : </v>
          </cell>
          <cell r="K15">
            <v>5.17</v>
          </cell>
        </row>
        <row r="16">
          <cell r="B16" t="e">
            <v>#N/A</v>
          </cell>
          <cell r="C16"/>
          <cell r="E16"/>
          <cell r="F16"/>
          <cell r="G16"/>
          <cell r="H16"/>
          <cell r="J16" t="str">
            <v xml:space="preserve">Altura Promedio, Нo (㎝) : </v>
          </cell>
          <cell r="K16">
            <v>11.79</v>
          </cell>
        </row>
        <row r="17">
          <cell r="A17">
            <v>1</v>
          </cell>
          <cell r="B17" t="e">
            <v>#N/A</v>
          </cell>
          <cell r="C17"/>
          <cell r="E17"/>
          <cell r="F17"/>
          <cell r="G17"/>
          <cell r="H17"/>
          <cell r="J17" t="str">
            <v xml:space="preserve">Relación Altura/Diámetro: </v>
          </cell>
          <cell r="K17">
            <v>2.2804642166344293</v>
          </cell>
        </row>
        <row r="18">
          <cell r="A18">
            <v>68</v>
          </cell>
          <cell r="B18" t="e">
            <v>#N/A</v>
          </cell>
          <cell r="C18"/>
          <cell r="E18"/>
          <cell r="F18"/>
          <cell r="G18"/>
          <cell r="H18"/>
          <cell r="K18" t="str">
            <v>Ok, Diámetro Prom. Base, Do ≥35 mm. (1.4¨)</v>
          </cell>
        </row>
        <row r="19">
          <cell r="A19">
            <v>177</v>
          </cell>
          <cell r="B19" t="e">
            <v>#N/A</v>
          </cell>
          <cell r="C19"/>
          <cell r="E19"/>
          <cell r="F19"/>
          <cell r="G19"/>
          <cell r="H19"/>
          <cell r="K19" t="str">
            <v>Ok, Cumple con la Relación Ho/Do ≥2</v>
          </cell>
        </row>
        <row r="20">
          <cell r="A20">
            <v>295</v>
          </cell>
          <cell r="B20" t="e">
            <v>#N/A</v>
          </cell>
          <cell r="C20"/>
          <cell r="E20"/>
          <cell r="F20"/>
          <cell r="G20"/>
          <cell r="H20"/>
          <cell r="J20" t="str">
            <v xml:space="preserve">Área Sección Transv. Ao (㎠) :  </v>
          </cell>
          <cell r="K20">
            <v>20.992828969634054</v>
          </cell>
        </row>
        <row r="21">
          <cell r="A21">
            <v>432</v>
          </cell>
          <cell r="B21" t="e">
            <v>#N/A</v>
          </cell>
          <cell r="C21"/>
          <cell r="E21"/>
          <cell r="F21"/>
          <cell r="G21"/>
          <cell r="H21"/>
          <cell r="J21" t="str">
            <v xml:space="preserve">Volumen, Vo (㎤) : </v>
          </cell>
          <cell r="K21">
            <v>247.50545355198548</v>
          </cell>
        </row>
        <row r="22">
          <cell r="A22">
            <v>525</v>
          </cell>
          <cell r="B22" t="e">
            <v>#N/A</v>
          </cell>
          <cell r="C22"/>
          <cell r="E22"/>
          <cell r="F22"/>
          <cell r="G22"/>
          <cell r="H22"/>
          <cell r="J22" t="str">
            <v>Determinación del Contenido de Agua</v>
          </cell>
        </row>
        <row r="23">
          <cell r="A23">
            <v>722</v>
          </cell>
          <cell r="B23" t="e">
            <v>#N/A</v>
          </cell>
          <cell r="C23"/>
          <cell r="E23"/>
          <cell r="F23"/>
          <cell r="G23"/>
          <cell r="H23"/>
          <cell r="J23" t="str">
            <v>Peso Suelo Húmedo + Cazuela:</v>
          </cell>
          <cell r="K23">
            <v>719.6</v>
          </cell>
        </row>
        <row r="24">
          <cell r="A24">
            <v>811</v>
          </cell>
          <cell r="B24" t="e">
            <v>#N/A</v>
          </cell>
          <cell r="C24"/>
          <cell r="E24"/>
          <cell r="F24"/>
          <cell r="G24"/>
          <cell r="H24"/>
          <cell r="J24" t="str">
            <v>Peso Suelo Seco + Cazuela:</v>
          </cell>
          <cell r="K24">
            <v>588.4</v>
          </cell>
        </row>
        <row r="25">
          <cell r="A25">
            <v>1005</v>
          </cell>
          <cell r="B25" t="e">
            <v>#N/A</v>
          </cell>
          <cell r="C25"/>
          <cell r="E25"/>
          <cell r="F25"/>
          <cell r="G25"/>
          <cell r="H25"/>
          <cell r="J25" t="str">
            <v>Peso de la Cazuela:</v>
          </cell>
          <cell r="K25">
            <v>0</v>
          </cell>
        </row>
        <row r="26">
          <cell r="A26">
            <v>1186</v>
          </cell>
          <cell r="B26" t="e">
            <v>#N/A</v>
          </cell>
          <cell r="C26"/>
          <cell r="E26"/>
          <cell r="F26"/>
          <cell r="G26"/>
          <cell r="H26"/>
          <cell r="J26" t="str">
            <v>Peso del Suelo Seco:</v>
          </cell>
          <cell r="K26">
            <v>588.4</v>
          </cell>
        </row>
        <row r="27">
          <cell r="B27" t="e">
            <v>#N/A</v>
          </cell>
          <cell r="C27"/>
          <cell r="E27"/>
          <cell r="F27"/>
          <cell r="G27"/>
          <cell r="H27"/>
          <cell r="J27" t="str">
            <v>Peso del Agua:</v>
          </cell>
          <cell r="K27">
            <v>131.19999999999999</v>
          </cell>
        </row>
        <row r="28">
          <cell r="B28" t="e">
            <v>#N/A</v>
          </cell>
          <cell r="C28"/>
          <cell r="E28"/>
          <cell r="F28"/>
          <cell r="G28"/>
          <cell r="H28"/>
          <cell r="J28" t="str">
            <v>% de Humedad:</v>
          </cell>
          <cell r="K28">
            <v>0.223</v>
          </cell>
        </row>
        <row r="29">
          <cell r="B29" t="e">
            <v>#N/A</v>
          </cell>
          <cell r="C29"/>
          <cell r="E29"/>
          <cell r="F29"/>
          <cell r="G29"/>
          <cell r="H29"/>
          <cell r="J29" t="str">
            <v>Pesos Unitarios</v>
          </cell>
        </row>
        <row r="30">
          <cell r="B30" t="e">
            <v>#N/A</v>
          </cell>
          <cell r="C30"/>
          <cell r="E30"/>
          <cell r="F30"/>
          <cell r="G30"/>
          <cell r="H30"/>
          <cell r="J30" t="str">
            <v>Peso Unit. Húmedo, γ [ton/㎥] :</v>
          </cell>
          <cell r="K30">
            <v>2.907</v>
          </cell>
        </row>
        <row r="31">
          <cell r="B31" t="e">
            <v>#N/A</v>
          </cell>
          <cell r="C31"/>
          <cell r="E31"/>
          <cell r="F31"/>
          <cell r="G31"/>
          <cell r="H31"/>
          <cell r="J31" t="str">
            <v>Peso Unit. Seco, γd [ton/㎥] :</v>
          </cell>
          <cell r="K31">
            <v>2.3769999999999998</v>
          </cell>
        </row>
        <row r="32">
          <cell r="B32" t="e">
            <v>#N/A</v>
          </cell>
          <cell r="C32"/>
          <cell r="E32"/>
          <cell r="F32"/>
          <cell r="G32"/>
          <cell r="H32"/>
        </row>
        <row r="33">
          <cell r="B33" t="e">
            <v>#N/A</v>
          </cell>
          <cell r="C33"/>
          <cell r="E33"/>
          <cell r="F33"/>
          <cell r="G33"/>
          <cell r="H33"/>
          <cell r="J33" t="str">
            <v>Constante del Anillo de Carga</v>
          </cell>
        </row>
        <row r="34">
          <cell r="B34" t="e">
            <v>#N/A</v>
          </cell>
          <cell r="C34"/>
          <cell r="E34"/>
          <cell r="F34"/>
          <cell r="G34"/>
          <cell r="H34"/>
          <cell r="J34" t="str">
            <v>Factor K [Kg/10-4 pg.] :</v>
          </cell>
          <cell r="K34">
            <v>0</v>
          </cell>
        </row>
        <row r="35">
          <cell r="B35" t="e">
            <v>#N/A</v>
          </cell>
          <cell r="C35"/>
          <cell r="E35"/>
          <cell r="F35"/>
          <cell r="G35"/>
          <cell r="H35"/>
          <cell r="I35" t="str">
            <v>Resist. Comp. No-confinada, Max[σ₁-σз]ƒ</v>
          </cell>
        </row>
        <row r="36">
          <cell r="B36" t="e">
            <v>#N/A</v>
          </cell>
          <cell r="C36"/>
          <cell r="E36"/>
          <cell r="F36"/>
          <cell r="G36"/>
          <cell r="H36"/>
          <cell r="I36" t="str">
            <v>Qu = 0 ㎏/㎠ = 0 Kpa</v>
          </cell>
        </row>
        <row r="37">
          <cell r="B37" t="e">
            <v>#N/A</v>
          </cell>
          <cell r="C37"/>
          <cell r="E37"/>
          <cell r="F37"/>
          <cell r="G37"/>
          <cell r="H37"/>
          <cell r="I37" t="str">
            <v>Resistencia al Corte No Drenada, τƒ</v>
          </cell>
        </row>
        <row r="38">
          <cell r="B38" t="e">
            <v>#N/A</v>
          </cell>
          <cell r="C38"/>
          <cell r="E38"/>
          <cell r="F38"/>
          <cell r="G38"/>
          <cell r="H38"/>
          <cell r="I38" t="str">
            <v>Cu =Su = 0 ㎏/㎠ = 0 Kpa</v>
          </cell>
        </row>
        <row r="39">
          <cell r="A39">
            <v>20</v>
          </cell>
          <cell r="B39" t="e">
            <v>#N/A</v>
          </cell>
          <cell r="C39"/>
          <cell r="E39"/>
          <cell r="F39"/>
          <cell r="G39"/>
          <cell r="H39"/>
          <cell r="I39" t="str">
            <v>Ángulo de fricción interna, Φ = 0.0</v>
          </cell>
        </row>
        <row r="40">
          <cell r="A40">
            <v>40</v>
          </cell>
          <cell r="B40" t="e">
            <v>#N/A</v>
          </cell>
          <cell r="C40"/>
          <cell r="E40"/>
          <cell r="F40"/>
          <cell r="G40"/>
          <cell r="H40"/>
          <cell r="I40" t="str">
            <v>Deformación promedio a la falla</v>
          </cell>
        </row>
        <row r="41">
          <cell r="A41">
            <v>60</v>
          </cell>
          <cell r="B41" t="e">
            <v>#N/A</v>
          </cell>
          <cell r="C41"/>
          <cell r="E41"/>
          <cell r="F41"/>
          <cell r="G41"/>
          <cell r="H41"/>
          <cell r="I41" t="str">
            <v xml:space="preserve">ε a la Falla: </v>
          </cell>
          <cell r="K41"/>
        </row>
        <row r="42">
          <cell r="A42">
            <v>80</v>
          </cell>
          <cell r="B42" t="e">
            <v>#N/A</v>
          </cell>
          <cell r="C42"/>
          <cell r="E42"/>
          <cell r="F42"/>
          <cell r="G42"/>
          <cell r="H42"/>
          <cell r="I42" t="str">
            <v>Área Corregida:</v>
          </cell>
        </row>
        <row r="43">
          <cell r="A43">
            <v>100</v>
          </cell>
          <cell r="B43" t="e">
            <v>#N/A</v>
          </cell>
          <cell r="C43"/>
          <cell r="E43"/>
          <cell r="F43"/>
          <cell r="G43"/>
          <cell r="H43"/>
        </row>
        <row r="44">
          <cell r="A44">
            <v>120</v>
          </cell>
          <cell r="B44" t="e">
            <v>#N/A</v>
          </cell>
          <cell r="C44"/>
          <cell r="E44"/>
          <cell r="F44"/>
          <cell r="G44"/>
          <cell r="H44"/>
        </row>
        <row r="48">
          <cell r="J48" t="str">
            <v>Gravedad Específica Asumida, Gs :</v>
          </cell>
          <cell r="K48">
            <v>2.58</v>
          </cell>
        </row>
        <row r="49">
          <cell r="C49" t="str">
            <v xml:space="preserve">Esquemas de la Muestra </v>
          </cell>
          <cell r="J49" t="str">
            <v>Relación de Vacios Inicial, е。:</v>
          </cell>
          <cell r="K49">
            <v>1.0854017669331091</v>
          </cell>
        </row>
        <row r="50">
          <cell r="C50" t="str">
            <v>en la Falla ó Rotura</v>
          </cell>
          <cell r="J50" t="str">
            <v>Grado de Saturación Inicial, Sг :</v>
          </cell>
          <cell r="K50">
            <v>0.53007099999999996</v>
          </cell>
        </row>
        <row r="51">
          <cell r="A51" t="str">
            <v>Observaciones</v>
          </cell>
          <cell r="I51"/>
        </row>
        <row r="52">
          <cell r="I52" t="str">
            <v>Calificación de la Consistencia del Suelo :</v>
          </cell>
        </row>
        <row r="53">
          <cell r="J53" t="str">
            <v>Ausente de Consistencia o Muy Blanda</v>
          </cell>
        </row>
        <row r="56">
          <cell r="C56" t="str">
            <v>TECNICA RESPONSABLE</v>
          </cell>
          <cell r="J56" t="str">
            <v>ING. RESPONSABLE</v>
          </cell>
        </row>
      </sheetData>
      <sheetData sheetId="22"/>
      <sheetData sheetId="23"/>
      <sheetData sheetId="24"/>
      <sheetData sheetId="25"/>
      <sheetData sheetId="26" refreshError="1"/>
      <sheetData sheetId="27" refreshError="1"/>
      <sheetData sheetId="28" refreshError="1"/>
      <sheetData sheetId="29">
        <row r="6">
          <cell r="A6">
            <v>0</v>
          </cell>
        </row>
      </sheetData>
      <sheetData sheetId="30"/>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granulometria1000"/>
      <sheetName val="LIMITES"/>
    </sheetNames>
    <definedNames>
      <definedName name="borrado"/>
    </defined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A"/>
      <sheetName val="BGB"/>
      <sheetName val="BGC"/>
      <sheetName val="Hoja1"/>
      <sheetName val="F-001"/>
      <sheetName val="Dens máxima"/>
      <sheetName val="Granulometria"/>
      <sheetName val="Graficas BASE"/>
      <sheetName val="Granulom"/>
      <sheetName val="F-002"/>
      <sheetName val="GRAN 1"/>
      <sheetName val="CBR GRAFICO"/>
      <sheetName val="LIMITES"/>
      <sheetName val="CHILCA 2 ARENA FINA"/>
    </sheetNames>
    <sheetDataSet>
      <sheetData sheetId="0" refreshError="1">
        <row r="9">
          <cell r="H9">
            <v>10215</v>
          </cell>
        </row>
        <row r="13">
          <cell r="H13" t="e">
            <v>#DIV/0!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NULOMETRIA"/>
      <sheetName val="SUCS"/>
      <sheetName val="AASHTO"/>
      <sheetName val="Base de datos"/>
      <sheetName val="CBR"/>
      <sheetName val="Proctor"/>
      <sheetName val="granul"/>
      <sheetName val="granul (2)"/>
      <sheetName val="Resumen"/>
      <sheetName val="LIMITES"/>
      <sheetName val="cbr datos"/>
      <sheetName val="cbr graficos"/>
      <sheetName val="Humedad"/>
      <sheetName val="F-002"/>
      <sheetName val="Clas."/>
      <sheetName val=""/>
      <sheetName val="F-022"/>
      <sheetName val="Perfil"/>
      <sheetName val="Reemplazo agua"/>
      <sheetName val="Gran."/>
      <sheetName val="Límites"/>
      <sheetName val="H.N"/>
      <sheetName val="Proctor "/>
      <sheetName val="GRANULOMETRIA MULTIPLE"/>
      <sheetName val="P. Esp."/>
      <sheetName val="Apoyo CBR"/>
      <sheetName val="ASENTAMIENTO"/>
      <sheetName val="P.U. SECO"/>
      <sheetName val="P.U. SECO DENSIDADES MAXIMA"/>
      <sheetName val="REEMPLAZO H2O"/>
      <sheetName val="CONO ARENA"/>
      <sheetName val="Hoja2"/>
      <sheetName val="Hoja3"/>
      <sheetName val="PESOS TARAS"/>
      <sheetName val="Apoyo 2"/>
      <sheetName val="Hoja1"/>
      <sheetName val="ABRASION"/>
      <sheetName val="Limite,200"/>
      <sheetName val="carril izquierdo"/>
      <sheetName val="GRAN.01"/>
      <sheetName val="ABERT"/>
      <sheetName val="LAB C12"/>
      <sheetName val="LAB C01"/>
      <sheetName val="LAB C19"/>
      <sheetName val="LAB C02"/>
      <sheetName val="LAB C04"/>
      <sheetName val="LAB C05"/>
      <sheetName val="LAB C13"/>
      <sheetName val="LAB C14.1"/>
      <sheetName val="LAB C14.2"/>
      <sheetName val="LAB C03"/>
      <sheetName val="Proctor  ASTM - 1557"/>
      <sheetName val="LAB C11"/>
      <sheetName val="Gra."/>
      <sheetName val="Base_de_datos"/>
      <sheetName val="granul_(2)"/>
      <sheetName val="cbr_datos"/>
      <sheetName val="cbr_graficos"/>
      <sheetName val="Clas_"/>
      <sheetName val="MRequiv."/>
      <sheetName val="Datos P. Der."/>
      <sheetName val="MET DIFERENC ACUM. P. Der."/>
      <sheetName val="Km. 0 - Km 20"/>
      <sheetName val="Km. 20 - Km 40"/>
      <sheetName val="Km. 40 - Km 60"/>
      <sheetName val="Km. 60 - Km 66.47"/>
      <sheetName val="2Etapas"/>
      <sheetName val="CF RECAPEO"/>
      <sheetName val="1Etapa"/>
    </sheetNames>
    <sheetDataSet>
      <sheetData sheetId="0" refreshError="1"/>
      <sheetData sheetId="1" refreshError="1">
        <row r="3">
          <cell r="C3">
            <v>11.5</v>
          </cell>
          <cell r="L3">
            <v>21</v>
          </cell>
        </row>
        <row r="4">
          <cell r="C4">
            <v>33</v>
          </cell>
          <cell r="L4">
            <v>0</v>
          </cell>
        </row>
        <row r="5">
          <cell r="C5">
            <v>21</v>
          </cell>
          <cell r="L5">
            <v>30</v>
          </cell>
        </row>
        <row r="6">
          <cell r="L6">
            <v>3.3333333333333333E-2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A"/>
      <sheetName val="BGB"/>
      <sheetName val="BGC"/>
      <sheetName val="Hoja1"/>
    </sheetNames>
    <sheetDataSet>
      <sheetData sheetId="0" refreshError="1">
        <row r="9">
          <cell r="H9">
            <v>10215</v>
          </cell>
        </row>
        <row r="13">
          <cell r="H13" t="e">
            <v>#DIV/0!</v>
          </cell>
        </row>
      </sheetData>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A"/>
      <sheetName val="BGB"/>
      <sheetName val="BGC"/>
      <sheetName val="Hoja1"/>
    </sheetNames>
    <sheetDataSet>
      <sheetData sheetId="0">
        <row r="9">
          <cell r="H9">
            <v>10215</v>
          </cell>
        </row>
        <row r="13">
          <cell r="H13" t="e">
            <v>#DIV/0!</v>
          </cell>
        </row>
      </sheetData>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DATOS"/>
      <sheetName val="Formato"/>
      <sheetName val="Gráfico"/>
      <sheetName val="Apoyo GRAN"/>
      <sheetName val="GRANULOMETRIA"/>
      <sheetName val="Corrección CBR"/>
      <sheetName val="F-001"/>
      <sheetName val="Planificacion"/>
      <sheetName val="#¡REF"/>
    </sheetNames>
    <sheetDataSet>
      <sheetData sheetId="0" refreshError="1"/>
      <sheetData sheetId="1" refreshError="1">
        <row r="2">
          <cell r="J2" t="str">
            <v>N1</v>
          </cell>
          <cell r="K2">
            <v>4195</v>
          </cell>
          <cell r="L2">
            <v>3064</v>
          </cell>
          <cell r="M2">
            <v>7259</v>
          </cell>
          <cell r="N2">
            <v>2121</v>
          </cell>
        </row>
        <row r="3">
          <cell r="J3" t="str">
            <v>N2</v>
          </cell>
          <cell r="K3">
            <v>4186</v>
          </cell>
          <cell r="L3">
            <v>3040</v>
          </cell>
          <cell r="M3">
            <v>7226</v>
          </cell>
          <cell r="N3">
            <v>2121</v>
          </cell>
        </row>
        <row r="4">
          <cell r="J4" t="str">
            <v>N3</v>
          </cell>
          <cell r="K4">
            <v>4200</v>
          </cell>
          <cell r="L4">
            <v>3014</v>
          </cell>
          <cell r="M4">
            <v>7214</v>
          </cell>
          <cell r="N4">
            <v>2121</v>
          </cell>
        </row>
        <row r="5">
          <cell r="J5" t="str">
            <v>N4</v>
          </cell>
          <cell r="K5">
            <v>4200</v>
          </cell>
          <cell r="L5">
            <v>3000</v>
          </cell>
          <cell r="M5">
            <v>7200</v>
          </cell>
          <cell r="N5">
            <v>2121</v>
          </cell>
        </row>
        <row r="6">
          <cell r="J6" t="str">
            <v>N5</v>
          </cell>
          <cell r="K6">
            <v>4197</v>
          </cell>
          <cell r="L6">
            <v>2969</v>
          </cell>
          <cell r="M6">
            <v>7166</v>
          </cell>
          <cell r="N6">
            <v>2121</v>
          </cell>
        </row>
        <row r="7">
          <cell r="J7" t="str">
            <v>N6</v>
          </cell>
          <cell r="K7">
            <v>4196</v>
          </cell>
          <cell r="L7">
            <v>3077</v>
          </cell>
          <cell r="M7">
            <v>7273</v>
          </cell>
          <cell r="N7">
            <v>2121</v>
          </cell>
        </row>
        <row r="8">
          <cell r="J8" t="str">
            <v>N7</v>
          </cell>
          <cell r="K8">
            <v>4201</v>
          </cell>
          <cell r="L8">
            <v>3061</v>
          </cell>
          <cell r="M8">
            <v>7262</v>
          </cell>
          <cell r="N8">
            <v>2121</v>
          </cell>
        </row>
        <row r="9">
          <cell r="J9" t="str">
            <v>N8</v>
          </cell>
          <cell r="K9">
            <v>4206</v>
          </cell>
          <cell r="L9">
            <v>3039</v>
          </cell>
          <cell r="M9">
            <v>7245</v>
          </cell>
          <cell r="N9">
            <v>2121</v>
          </cell>
        </row>
        <row r="10">
          <cell r="J10" t="str">
            <v>N9</v>
          </cell>
          <cell r="K10">
            <v>4204</v>
          </cell>
          <cell r="L10">
            <v>3069</v>
          </cell>
          <cell r="M10">
            <v>7273</v>
          </cell>
          <cell r="N10">
            <v>2121</v>
          </cell>
        </row>
        <row r="11">
          <cell r="J11" t="str">
            <v>N10</v>
          </cell>
          <cell r="K11">
            <v>4200</v>
          </cell>
          <cell r="L11">
            <v>3105</v>
          </cell>
          <cell r="M11">
            <v>7305</v>
          </cell>
          <cell r="N11">
            <v>2121</v>
          </cell>
        </row>
        <row r="12">
          <cell r="J12" t="str">
            <v>N11</v>
          </cell>
          <cell r="K12">
            <v>4198</v>
          </cell>
          <cell r="L12">
            <v>3084</v>
          </cell>
          <cell r="M12">
            <v>7282</v>
          </cell>
          <cell r="N12">
            <v>2121</v>
          </cell>
        </row>
        <row r="13">
          <cell r="J13" t="str">
            <v>N12</v>
          </cell>
          <cell r="K13">
            <v>4197</v>
          </cell>
          <cell r="L13">
            <v>3028</v>
          </cell>
          <cell r="M13">
            <v>7225</v>
          </cell>
          <cell r="N13">
            <v>2121</v>
          </cell>
        </row>
        <row r="14">
          <cell r="J14" t="str">
            <v>N13</v>
          </cell>
          <cell r="K14">
            <v>4207</v>
          </cell>
          <cell r="L14">
            <v>3126</v>
          </cell>
          <cell r="M14">
            <v>7333</v>
          </cell>
          <cell r="N14">
            <v>2121</v>
          </cell>
        </row>
        <row r="15">
          <cell r="J15" t="str">
            <v>N14</v>
          </cell>
          <cell r="K15">
            <v>4204</v>
          </cell>
          <cell r="L15">
            <v>3062</v>
          </cell>
          <cell r="M15">
            <v>7266</v>
          </cell>
          <cell r="N15">
            <v>2121</v>
          </cell>
        </row>
        <row r="16">
          <cell r="J16" t="str">
            <v>N15</v>
          </cell>
          <cell r="K16">
            <v>4197</v>
          </cell>
          <cell r="L16">
            <v>3069</v>
          </cell>
          <cell r="M16">
            <v>7266</v>
          </cell>
          <cell r="N16">
            <v>2121</v>
          </cell>
        </row>
        <row r="17">
          <cell r="J17" t="str">
            <v>N16</v>
          </cell>
          <cell r="K17">
            <v>4200</v>
          </cell>
          <cell r="L17">
            <v>3040</v>
          </cell>
          <cell r="M17">
            <v>7240</v>
          </cell>
          <cell r="N17">
            <v>2121</v>
          </cell>
        </row>
        <row r="18">
          <cell r="J18" t="str">
            <v>N17</v>
          </cell>
          <cell r="K18">
            <v>4200</v>
          </cell>
          <cell r="L18">
            <v>3049</v>
          </cell>
          <cell r="M18">
            <v>7249</v>
          </cell>
          <cell r="N18">
            <v>2121</v>
          </cell>
        </row>
        <row r="19">
          <cell r="J19" t="str">
            <v>N18</v>
          </cell>
          <cell r="K19">
            <v>4200</v>
          </cell>
          <cell r="L19">
            <v>2983</v>
          </cell>
          <cell r="M19">
            <v>7183</v>
          </cell>
          <cell r="N19">
            <v>2121</v>
          </cell>
        </row>
        <row r="20">
          <cell r="J20" t="str">
            <v>N19</v>
          </cell>
          <cell r="K20">
            <v>4200</v>
          </cell>
          <cell r="L20">
            <v>2983</v>
          </cell>
          <cell r="M20">
            <v>7183</v>
          </cell>
          <cell r="N20">
            <v>2121</v>
          </cell>
        </row>
        <row r="21">
          <cell r="J21" t="str">
            <v>N20</v>
          </cell>
          <cell r="K21">
            <v>4200</v>
          </cell>
          <cell r="L21">
            <v>3058</v>
          </cell>
          <cell r="M21">
            <v>7258</v>
          </cell>
          <cell r="N21">
            <v>2121</v>
          </cell>
        </row>
        <row r="22">
          <cell r="J22" t="str">
            <v>N21</v>
          </cell>
          <cell r="K22">
            <v>4200</v>
          </cell>
          <cell r="L22">
            <v>3105</v>
          </cell>
          <cell r="M22">
            <v>7305</v>
          </cell>
          <cell r="N22">
            <v>2121</v>
          </cell>
        </row>
        <row r="23">
          <cell r="J23" t="str">
            <v>N22</v>
          </cell>
          <cell r="K23">
            <v>4200</v>
          </cell>
          <cell r="L23">
            <v>2983</v>
          </cell>
          <cell r="M23">
            <v>7183</v>
          </cell>
          <cell r="N23">
            <v>2121</v>
          </cell>
        </row>
        <row r="24">
          <cell r="J24">
            <v>1</v>
          </cell>
          <cell r="K24">
            <v>3526</v>
          </cell>
          <cell r="L24">
            <v>4656</v>
          </cell>
          <cell r="M24">
            <v>8182</v>
          </cell>
          <cell r="N24">
            <v>2195</v>
          </cell>
        </row>
        <row r="25">
          <cell r="J25">
            <v>2</v>
          </cell>
          <cell r="K25">
            <v>3370</v>
          </cell>
          <cell r="L25">
            <v>4579</v>
          </cell>
          <cell r="M25">
            <v>7949</v>
          </cell>
          <cell r="N25">
            <v>2200</v>
          </cell>
        </row>
        <row r="26">
          <cell r="J26">
            <v>3</v>
          </cell>
          <cell r="K26">
            <v>3287</v>
          </cell>
          <cell r="L26">
            <v>4629</v>
          </cell>
          <cell r="M26">
            <v>7916</v>
          </cell>
          <cell r="N26">
            <v>2179</v>
          </cell>
        </row>
        <row r="27">
          <cell r="J27">
            <v>4</v>
          </cell>
          <cell r="K27">
            <v>3407</v>
          </cell>
          <cell r="L27">
            <v>4562</v>
          </cell>
          <cell r="M27">
            <v>7969</v>
          </cell>
          <cell r="N27">
            <v>2137</v>
          </cell>
        </row>
        <row r="28">
          <cell r="J28">
            <v>5</v>
          </cell>
          <cell r="K28">
            <v>3353</v>
          </cell>
          <cell r="L28">
            <v>4544</v>
          </cell>
          <cell r="M28">
            <v>7897</v>
          </cell>
          <cell r="N28">
            <v>2169</v>
          </cell>
        </row>
        <row r="29">
          <cell r="J29">
            <v>6</v>
          </cell>
          <cell r="K29">
            <v>4100</v>
          </cell>
          <cell r="L29">
            <v>3223</v>
          </cell>
          <cell r="M29">
            <v>7323</v>
          </cell>
          <cell r="N29">
            <v>2101</v>
          </cell>
        </row>
        <row r="30">
          <cell r="J30">
            <v>7</v>
          </cell>
          <cell r="K30">
            <v>3276</v>
          </cell>
          <cell r="L30">
            <v>4667</v>
          </cell>
          <cell r="M30">
            <v>7943</v>
          </cell>
          <cell r="N30">
            <v>2162</v>
          </cell>
        </row>
        <row r="31">
          <cell r="J31">
            <v>8</v>
          </cell>
          <cell r="K31">
            <v>4127</v>
          </cell>
          <cell r="L31">
            <v>3145</v>
          </cell>
          <cell r="M31">
            <v>7272</v>
          </cell>
          <cell r="N31">
            <v>2097</v>
          </cell>
        </row>
        <row r="32">
          <cell r="J32">
            <v>9</v>
          </cell>
          <cell r="K32">
            <v>3369</v>
          </cell>
          <cell r="L32">
            <v>4490</v>
          </cell>
          <cell r="M32">
            <v>7859</v>
          </cell>
          <cell r="N32">
            <v>2156</v>
          </cell>
        </row>
        <row r="33">
          <cell r="J33">
            <v>10</v>
          </cell>
          <cell r="K33">
            <v>3260</v>
          </cell>
          <cell r="L33">
            <v>4607</v>
          </cell>
          <cell r="M33">
            <v>7867</v>
          </cell>
          <cell r="N33">
            <v>2150</v>
          </cell>
        </row>
        <row r="34">
          <cell r="J34">
            <v>11</v>
          </cell>
          <cell r="K34">
            <v>3405</v>
          </cell>
          <cell r="L34">
            <v>4573</v>
          </cell>
          <cell r="M34">
            <v>7212</v>
          </cell>
          <cell r="N34">
            <v>2156</v>
          </cell>
        </row>
        <row r="35">
          <cell r="J35">
            <v>12</v>
          </cell>
          <cell r="K35">
            <v>4170</v>
          </cell>
          <cell r="L35">
            <v>4435</v>
          </cell>
          <cell r="M35">
            <v>7226</v>
          </cell>
          <cell r="N35">
            <v>2125</v>
          </cell>
        </row>
        <row r="36">
          <cell r="J36">
            <v>13</v>
          </cell>
          <cell r="K36">
            <v>3550</v>
          </cell>
          <cell r="L36">
            <v>4460</v>
          </cell>
          <cell r="M36">
            <v>7177</v>
          </cell>
          <cell r="N36">
            <v>2129</v>
          </cell>
        </row>
        <row r="37">
          <cell r="J37">
            <v>14</v>
          </cell>
          <cell r="K37">
            <v>3400</v>
          </cell>
          <cell r="L37">
            <v>4640</v>
          </cell>
          <cell r="M37">
            <v>7200</v>
          </cell>
          <cell r="N37">
            <v>2131</v>
          </cell>
        </row>
        <row r="38">
          <cell r="J38">
            <v>15</v>
          </cell>
          <cell r="K38">
            <v>3318</v>
          </cell>
          <cell r="L38">
            <v>4669</v>
          </cell>
          <cell r="M38">
            <v>7166</v>
          </cell>
          <cell r="N38">
            <v>2158</v>
          </cell>
        </row>
        <row r="39">
          <cell r="J39">
            <v>16</v>
          </cell>
          <cell r="K39">
            <v>4086</v>
          </cell>
          <cell r="L39">
            <v>3188</v>
          </cell>
          <cell r="M39">
            <v>7216</v>
          </cell>
          <cell r="N39">
            <v>2109</v>
          </cell>
        </row>
        <row r="40">
          <cell r="J40">
            <v>17</v>
          </cell>
          <cell r="K40">
            <v>3524</v>
          </cell>
          <cell r="L40">
            <v>4629</v>
          </cell>
          <cell r="M40">
            <v>7201</v>
          </cell>
          <cell r="N40">
            <v>2191</v>
          </cell>
        </row>
        <row r="41">
          <cell r="J41">
            <v>18</v>
          </cell>
          <cell r="K41">
            <v>3318</v>
          </cell>
          <cell r="L41">
            <v>4591</v>
          </cell>
          <cell r="M41">
            <v>7204</v>
          </cell>
          <cell r="N41">
            <v>2147</v>
          </cell>
        </row>
        <row r="42">
          <cell r="J42">
            <v>19</v>
          </cell>
          <cell r="K42">
            <v>3481</v>
          </cell>
          <cell r="L42">
            <v>4622</v>
          </cell>
          <cell r="M42">
            <v>7214</v>
          </cell>
          <cell r="N42">
            <v>2125</v>
          </cell>
        </row>
        <row r="43">
          <cell r="J43">
            <v>22</v>
          </cell>
          <cell r="K43">
            <v>4072</v>
          </cell>
          <cell r="L43">
            <v>3225</v>
          </cell>
          <cell r="M43">
            <v>7243</v>
          </cell>
          <cell r="N43">
            <v>2114</v>
          </cell>
        </row>
        <row r="44">
          <cell r="J44" t="str">
            <v>7B</v>
          </cell>
          <cell r="K44">
            <v>3414</v>
          </cell>
          <cell r="L44">
            <v>4582</v>
          </cell>
          <cell r="M44">
            <v>7222</v>
          </cell>
          <cell r="N44">
            <v>2191</v>
          </cell>
        </row>
        <row r="45">
          <cell r="J45" t="str">
            <v>I</v>
          </cell>
          <cell r="K45">
            <v>3186</v>
          </cell>
          <cell r="L45">
            <v>4585</v>
          </cell>
          <cell r="M45">
            <v>7225</v>
          </cell>
          <cell r="N45">
            <v>2203</v>
          </cell>
        </row>
        <row r="46">
          <cell r="J46" t="str">
            <v>Ñ</v>
          </cell>
          <cell r="K46">
            <v>3484</v>
          </cell>
          <cell r="L46">
            <v>4447</v>
          </cell>
          <cell r="M46">
            <v>7273</v>
          </cell>
          <cell r="N46">
            <v>2156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granulometria1000"/>
    </sheetNames>
    <definedNames>
      <definedName name="borrado"/>
    </defined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5"/>
  <dimension ref="A1:Y53"/>
  <sheetViews>
    <sheetView zoomScale="85" zoomScaleNormal="85" workbookViewId="0">
      <selection activeCell="Y15" sqref="Y15"/>
    </sheetView>
  </sheetViews>
  <sheetFormatPr baseColWidth="10" defaultRowHeight="14.4"/>
  <cols>
    <col min="1" max="1" width="6.6640625" style="51" customWidth="1"/>
    <col min="2" max="2" width="23.44140625" style="51" bestFit="1" customWidth="1"/>
    <col min="3" max="4" width="9" style="51" customWidth="1"/>
    <col min="5" max="5" width="3" style="51" customWidth="1"/>
    <col min="6" max="11" width="11.44140625" style="51"/>
    <col min="12" max="12" width="3" style="51" customWidth="1"/>
    <col min="13" max="21" width="7.109375" style="51" customWidth="1"/>
    <col min="22" max="22" width="1.44140625" style="51" customWidth="1"/>
    <col min="23" max="25" width="7.44140625" style="51" customWidth="1"/>
    <col min="26" max="256" width="11.44140625" style="51"/>
    <col min="257" max="257" width="3" style="51" customWidth="1"/>
    <col min="258" max="258" width="23.44140625" style="51" bestFit="1" customWidth="1"/>
    <col min="259" max="260" width="9" style="51" customWidth="1"/>
    <col min="261" max="261" width="3" style="51" customWidth="1"/>
    <col min="262" max="267" width="11.44140625" style="51"/>
    <col min="268" max="268" width="3" style="51" customWidth="1"/>
    <col min="269" max="281" width="0" style="51" hidden="1" customWidth="1"/>
    <col min="282" max="512" width="11.44140625" style="51"/>
    <col min="513" max="513" width="3" style="51" customWidth="1"/>
    <col min="514" max="514" width="23.44140625" style="51" bestFit="1" customWidth="1"/>
    <col min="515" max="516" width="9" style="51" customWidth="1"/>
    <col min="517" max="517" width="3" style="51" customWidth="1"/>
    <col min="518" max="523" width="11.44140625" style="51"/>
    <col min="524" max="524" width="3" style="51" customWidth="1"/>
    <col min="525" max="537" width="0" style="51" hidden="1" customWidth="1"/>
    <col min="538" max="768" width="11.44140625" style="51"/>
    <col min="769" max="769" width="3" style="51" customWidth="1"/>
    <col min="770" max="770" width="23.44140625" style="51" bestFit="1" customWidth="1"/>
    <col min="771" max="772" width="9" style="51" customWidth="1"/>
    <col min="773" max="773" width="3" style="51" customWidth="1"/>
    <col min="774" max="779" width="11.44140625" style="51"/>
    <col min="780" max="780" width="3" style="51" customWidth="1"/>
    <col min="781" max="793" width="0" style="51" hidden="1" customWidth="1"/>
    <col min="794" max="1024" width="11.44140625" style="51"/>
    <col min="1025" max="1025" width="3" style="51" customWidth="1"/>
    <col min="1026" max="1026" width="23.44140625" style="51" bestFit="1" customWidth="1"/>
    <col min="1027" max="1028" width="9" style="51" customWidth="1"/>
    <col min="1029" max="1029" width="3" style="51" customWidth="1"/>
    <col min="1030" max="1035" width="11.44140625" style="51"/>
    <col min="1036" max="1036" width="3" style="51" customWidth="1"/>
    <col min="1037" max="1049" width="0" style="51" hidden="1" customWidth="1"/>
    <col min="1050" max="1280" width="11.44140625" style="51"/>
    <col min="1281" max="1281" width="3" style="51" customWidth="1"/>
    <col min="1282" max="1282" width="23.44140625" style="51" bestFit="1" customWidth="1"/>
    <col min="1283" max="1284" width="9" style="51" customWidth="1"/>
    <col min="1285" max="1285" width="3" style="51" customWidth="1"/>
    <col min="1286" max="1291" width="11.44140625" style="51"/>
    <col min="1292" max="1292" width="3" style="51" customWidth="1"/>
    <col min="1293" max="1305" width="0" style="51" hidden="1" customWidth="1"/>
    <col min="1306" max="1536" width="11.44140625" style="51"/>
    <col min="1537" max="1537" width="3" style="51" customWidth="1"/>
    <col min="1538" max="1538" width="23.44140625" style="51" bestFit="1" customWidth="1"/>
    <col min="1539" max="1540" width="9" style="51" customWidth="1"/>
    <col min="1541" max="1541" width="3" style="51" customWidth="1"/>
    <col min="1542" max="1547" width="11.44140625" style="51"/>
    <col min="1548" max="1548" width="3" style="51" customWidth="1"/>
    <col min="1549" max="1561" width="0" style="51" hidden="1" customWidth="1"/>
    <col min="1562" max="1792" width="11.44140625" style="51"/>
    <col min="1793" max="1793" width="3" style="51" customWidth="1"/>
    <col min="1794" max="1794" width="23.44140625" style="51" bestFit="1" customWidth="1"/>
    <col min="1795" max="1796" width="9" style="51" customWidth="1"/>
    <col min="1797" max="1797" width="3" style="51" customWidth="1"/>
    <col min="1798" max="1803" width="11.44140625" style="51"/>
    <col min="1804" max="1804" width="3" style="51" customWidth="1"/>
    <col min="1805" max="1817" width="0" style="51" hidden="1" customWidth="1"/>
    <col min="1818" max="2048" width="11.44140625" style="51"/>
    <col min="2049" max="2049" width="3" style="51" customWidth="1"/>
    <col min="2050" max="2050" width="23.44140625" style="51" bestFit="1" customWidth="1"/>
    <col min="2051" max="2052" width="9" style="51" customWidth="1"/>
    <col min="2053" max="2053" width="3" style="51" customWidth="1"/>
    <col min="2054" max="2059" width="11.44140625" style="51"/>
    <col min="2060" max="2060" width="3" style="51" customWidth="1"/>
    <col min="2061" max="2073" width="0" style="51" hidden="1" customWidth="1"/>
    <col min="2074" max="2304" width="11.44140625" style="51"/>
    <col min="2305" max="2305" width="3" style="51" customWidth="1"/>
    <col min="2306" max="2306" width="23.44140625" style="51" bestFit="1" customWidth="1"/>
    <col min="2307" max="2308" width="9" style="51" customWidth="1"/>
    <col min="2309" max="2309" width="3" style="51" customWidth="1"/>
    <col min="2310" max="2315" width="11.44140625" style="51"/>
    <col min="2316" max="2316" width="3" style="51" customWidth="1"/>
    <col min="2317" max="2329" width="0" style="51" hidden="1" customWidth="1"/>
    <col min="2330" max="2560" width="11.44140625" style="51"/>
    <col min="2561" max="2561" width="3" style="51" customWidth="1"/>
    <col min="2562" max="2562" width="23.44140625" style="51" bestFit="1" customWidth="1"/>
    <col min="2563" max="2564" width="9" style="51" customWidth="1"/>
    <col min="2565" max="2565" width="3" style="51" customWidth="1"/>
    <col min="2566" max="2571" width="11.44140625" style="51"/>
    <col min="2572" max="2572" width="3" style="51" customWidth="1"/>
    <col min="2573" max="2585" width="0" style="51" hidden="1" customWidth="1"/>
    <col min="2586" max="2816" width="11.44140625" style="51"/>
    <col min="2817" max="2817" width="3" style="51" customWidth="1"/>
    <col min="2818" max="2818" width="23.44140625" style="51" bestFit="1" customWidth="1"/>
    <col min="2819" max="2820" width="9" style="51" customWidth="1"/>
    <col min="2821" max="2821" width="3" style="51" customWidth="1"/>
    <col min="2822" max="2827" width="11.44140625" style="51"/>
    <col min="2828" max="2828" width="3" style="51" customWidth="1"/>
    <col min="2829" max="2841" width="0" style="51" hidden="1" customWidth="1"/>
    <col min="2842" max="3072" width="11.44140625" style="51"/>
    <col min="3073" max="3073" width="3" style="51" customWidth="1"/>
    <col min="3074" max="3074" width="23.44140625" style="51" bestFit="1" customWidth="1"/>
    <col min="3075" max="3076" width="9" style="51" customWidth="1"/>
    <col min="3077" max="3077" width="3" style="51" customWidth="1"/>
    <col min="3078" max="3083" width="11.44140625" style="51"/>
    <col min="3084" max="3084" width="3" style="51" customWidth="1"/>
    <col min="3085" max="3097" width="0" style="51" hidden="1" customWidth="1"/>
    <col min="3098" max="3328" width="11.44140625" style="51"/>
    <col min="3329" max="3329" width="3" style="51" customWidth="1"/>
    <col min="3330" max="3330" width="23.44140625" style="51" bestFit="1" customWidth="1"/>
    <col min="3331" max="3332" width="9" style="51" customWidth="1"/>
    <col min="3333" max="3333" width="3" style="51" customWidth="1"/>
    <col min="3334" max="3339" width="11.44140625" style="51"/>
    <col min="3340" max="3340" width="3" style="51" customWidth="1"/>
    <col min="3341" max="3353" width="0" style="51" hidden="1" customWidth="1"/>
    <col min="3354" max="3584" width="11.44140625" style="51"/>
    <col min="3585" max="3585" width="3" style="51" customWidth="1"/>
    <col min="3586" max="3586" width="23.44140625" style="51" bestFit="1" customWidth="1"/>
    <col min="3587" max="3588" width="9" style="51" customWidth="1"/>
    <col min="3589" max="3589" width="3" style="51" customWidth="1"/>
    <col min="3590" max="3595" width="11.44140625" style="51"/>
    <col min="3596" max="3596" width="3" style="51" customWidth="1"/>
    <col min="3597" max="3609" width="0" style="51" hidden="1" customWidth="1"/>
    <col min="3610" max="3840" width="11.44140625" style="51"/>
    <col min="3841" max="3841" width="3" style="51" customWidth="1"/>
    <col min="3842" max="3842" width="23.44140625" style="51" bestFit="1" customWidth="1"/>
    <col min="3843" max="3844" width="9" style="51" customWidth="1"/>
    <col min="3845" max="3845" width="3" style="51" customWidth="1"/>
    <col min="3846" max="3851" width="11.44140625" style="51"/>
    <col min="3852" max="3852" width="3" style="51" customWidth="1"/>
    <col min="3853" max="3865" width="0" style="51" hidden="1" customWidth="1"/>
    <col min="3866" max="4096" width="11.44140625" style="51"/>
    <col min="4097" max="4097" width="3" style="51" customWidth="1"/>
    <col min="4098" max="4098" width="23.44140625" style="51" bestFit="1" customWidth="1"/>
    <col min="4099" max="4100" width="9" style="51" customWidth="1"/>
    <col min="4101" max="4101" width="3" style="51" customWidth="1"/>
    <col min="4102" max="4107" width="11.44140625" style="51"/>
    <col min="4108" max="4108" width="3" style="51" customWidth="1"/>
    <col min="4109" max="4121" width="0" style="51" hidden="1" customWidth="1"/>
    <col min="4122" max="4352" width="11.44140625" style="51"/>
    <col min="4353" max="4353" width="3" style="51" customWidth="1"/>
    <col min="4354" max="4354" width="23.44140625" style="51" bestFit="1" customWidth="1"/>
    <col min="4355" max="4356" width="9" style="51" customWidth="1"/>
    <col min="4357" max="4357" width="3" style="51" customWidth="1"/>
    <col min="4358" max="4363" width="11.44140625" style="51"/>
    <col min="4364" max="4364" width="3" style="51" customWidth="1"/>
    <col min="4365" max="4377" width="0" style="51" hidden="1" customWidth="1"/>
    <col min="4378" max="4608" width="11.44140625" style="51"/>
    <col min="4609" max="4609" width="3" style="51" customWidth="1"/>
    <col min="4610" max="4610" width="23.44140625" style="51" bestFit="1" customWidth="1"/>
    <col min="4611" max="4612" width="9" style="51" customWidth="1"/>
    <col min="4613" max="4613" width="3" style="51" customWidth="1"/>
    <col min="4614" max="4619" width="11.44140625" style="51"/>
    <col min="4620" max="4620" width="3" style="51" customWidth="1"/>
    <col min="4621" max="4633" width="0" style="51" hidden="1" customWidth="1"/>
    <col min="4634" max="4864" width="11.44140625" style="51"/>
    <col min="4865" max="4865" width="3" style="51" customWidth="1"/>
    <col min="4866" max="4866" width="23.44140625" style="51" bestFit="1" customWidth="1"/>
    <col min="4867" max="4868" width="9" style="51" customWidth="1"/>
    <col min="4869" max="4869" width="3" style="51" customWidth="1"/>
    <col min="4870" max="4875" width="11.44140625" style="51"/>
    <col min="4876" max="4876" width="3" style="51" customWidth="1"/>
    <col min="4877" max="4889" width="0" style="51" hidden="1" customWidth="1"/>
    <col min="4890" max="5120" width="11.44140625" style="51"/>
    <col min="5121" max="5121" width="3" style="51" customWidth="1"/>
    <col min="5122" max="5122" width="23.44140625" style="51" bestFit="1" customWidth="1"/>
    <col min="5123" max="5124" width="9" style="51" customWidth="1"/>
    <col min="5125" max="5125" width="3" style="51" customWidth="1"/>
    <col min="5126" max="5131" width="11.44140625" style="51"/>
    <col min="5132" max="5132" width="3" style="51" customWidth="1"/>
    <col min="5133" max="5145" width="0" style="51" hidden="1" customWidth="1"/>
    <col min="5146" max="5376" width="11.44140625" style="51"/>
    <col min="5377" max="5377" width="3" style="51" customWidth="1"/>
    <col min="5378" max="5378" width="23.44140625" style="51" bestFit="1" customWidth="1"/>
    <col min="5379" max="5380" width="9" style="51" customWidth="1"/>
    <col min="5381" max="5381" width="3" style="51" customWidth="1"/>
    <col min="5382" max="5387" width="11.44140625" style="51"/>
    <col min="5388" max="5388" width="3" style="51" customWidth="1"/>
    <col min="5389" max="5401" width="0" style="51" hidden="1" customWidth="1"/>
    <col min="5402" max="5632" width="11.44140625" style="51"/>
    <col min="5633" max="5633" width="3" style="51" customWidth="1"/>
    <col min="5634" max="5634" width="23.44140625" style="51" bestFit="1" customWidth="1"/>
    <col min="5635" max="5636" width="9" style="51" customWidth="1"/>
    <col min="5637" max="5637" width="3" style="51" customWidth="1"/>
    <col min="5638" max="5643" width="11.44140625" style="51"/>
    <col min="5644" max="5644" width="3" style="51" customWidth="1"/>
    <col min="5645" max="5657" width="0" style="51" hidden="1" customWidth="1"/>
    <col min="5658" max="5888" width="11.44140625" style="51"/>
    <col min="5889" max="5889" width="3" style="51" customWidth="1"/>
    <col min="5890" max="5890" width="23.44140625" style="51" bestFit="1" customWidth="1"/>
    <col min="5891" max="5892" width="9" style="51" customWidth="1"/>
    <col min="5893" max="5893" width="3" style="51" customWidth="1"/>
    <col min="5894" max="5899" width="11.44140625" style="51"/>
    <col min="5900" max="5900" width="3" style="51" customWidth="1"/>
    <col min="5901" max="5913" width="0" style="51" hidden="1" customWidth="1"/>
    <col min="5914" max="6144" width="11.44140625" style="51"/>
    <col min="6145" max="6145" width="3" style="51" customWidth="1"/>
    <col min="6146" max="6146" width="23.44140625" style="51" bestFit="1" customWidth="1"/>
    <col min="6147" max="6148" width="9" style="51" customWidth="1"/>
    <col min="6149" max="6149" width="3" style="51" customWidth="1"/>
    <col min="6150" max="6155" width="11.44140625" style="51"/>
    <col min="6156" max="6156" width="3" style="51" customWidth="1"/>
    <col min="6157" max="6169" width="0" style="51" hidden="1" customWidth="1"/>
    <col min="6170" max="6400" width="11.44140625" style="51"/>
    <col min="6401" max="6401" width="3" style="51" customWidth="1"/>
    <col min="6402" max="6402" width="23.44140625" style="51" bestFit="1" customWidth="1"/>
    <col min="6403" max="6404" width="9" style="51" customWidth="1"/>
    <col min="6405" max="6405" width="3" style="51" customWidth="1"/>
    <col min="6406" max="6411" width="11.44140625" style="51"/>
    <col min="6412" max="6412" width="3" style="51" customWidth="1"/>
    <col min="6413" max="6425" width="0" style="51" hidden="1" customWidth="1"/>
    <col min="6426" max="6656" width="11.44140625" style="51"/>
    <col min="6657" max="6657" width="3" style="51" customWidth="1"/>
    <col min="6658" max="6658" width="23.44140625" style="51" bestFit="1" customWidth="1"/>
    <col min="6659" max="6660" width="9" style="51" customWidth="1"/>
    <col min="6661" max="6661" width="3" style="51" customWidth="1"/>
    <col min="6662" max="6667" width="11.44140625" style="51"/>
    <col min="6668" max="6668" width="3" style="51" customWidth="1"/>
    <col min="6669" max="6681" width="0" style="51" hidden="1" customWidth="1"/>
    <col min="6682" max="6912" width="11.44140625" style="51"/>
    <col min="6913" max="6913" width="3" style="51" customWidth="1"/>
    <col min="6914" max="6914" width="23.44140625" style="51" bestFit="1" customWidth="1"/>
    <col min="6915" max="6916" width="9" style="51" customWidth="1"/>
    <col min="6917" max="6917" width="3" style="51" customWidth="1"/>
    <col min="6918" max="6923" width="11.44140625" style="51"/>
    <col min="6924" max="6924" width="3" style="51" customWidth="1"/>
    <col min="6925" max="6937" width="0" style="51" hidden="1" customWidth="1"/>
    <col min="6938" max="7168" width="11.44140625" style="51"/>
    <col min="7169" max="7169" width="3" style="51" customWidth="1"/>
    <col min="7170" max="7170" width="23.44140625" style="51" bestFit="1" customWidth="1"/>
    <col min="7171" max="7172" width="9" style="51" customWidth="1"/>
    <col min="7173" max="7173" width="3" style="51" customWidth="1"/>
    <col min="7174" max="7179" width="11.44140625" style="51"/>
    <col min="7180" max="7180" width="3" style="51" customWidth="1"/>
    <col min="7181" max="7193" width="0" style="51" hidden="1" customWidth="1"/>
    <col min="7194" max="7424" width="11.44140625" style="51"/>
    <col min="7425" max="7425" width="3" style="51" customWidth="1"/>
    <col min="7426" max="7426" width="23.44140625" style="51" bestFit="1" customWidth="1"/>
    <col min="7427" max="7428" width="9" style="51" customWidth="1"/>
    <col min="7429" max="7429" width="3" style="51" customWidth="1"/>
    <col min="7430" max="7435" width="11.44140625" style="51"/>
    <col min="7436" max="7436" width="3" style="51" customWidth="1"/>
    <col min="7437" max="7449" width="0" style="51" hidden="1" customWidth="1"/>
    <col min="7450" max="7680" width="11.44140625" style="51"/>
    <col min="7681" max="7681" width="3" style="51" customWidth="1"/>
    <col min="7682" max="7682" width="23.44140625" style="51" bestFit="1" customWidth="1"/>
    <col min="7683" max="7684" width="9" style="51" customWidth="1"/>
    <col min="7685" max="7685" width="3" style="51" customWidth="1"/>
    <col min="7686" max="7691" width="11.44140625" style="51"/>
    <col min="7692" max="7692" width="3" style="51" customWidth="1"/>
    <col min="7693" max="7705" width="0" style="51" hidden="1" customWidth="1"/>
    <col min="7706" max="7936" width="11.44140625" style="51"/>
    <col min="7937" max="7937" width="3" style="51" customWidth="1"/>
    <col min="7938" max="7938" width="23.44140625" style="51" bestFit="1" customWidth="1"/>
    <col min="7939" max="7940" width="9" style="51" customWidth="1"/>
    <col min="7941" max="7941" width="3" style="51" customWidth="1"/>
    <col min="7942" max="7947" width="11.44140625" style="51"/>
    <col min="7948" max="7948" width="3" style="51" customWidth="1"/>
    <col min="7949" max="7961" width="0" style="51" hidden="1" customWidth="1"/>
    <col min="7962" max="8192" width="11.44140625" style="51"/>
    <col min="8193" max="8193" width="3" style="51" customWidth="1"/>
    <col min="8194" max="8194" width="23.44140625" style="51" bestFit="1" customWidth="1"/>
    <col min="8195" max="8196" width="9" style="51" customWidth="1"/>
    <col min="8197" max="8197" width="3" style="51" customWidth="1"/>
    <col min="8198" max="8203" width="11.44140625" style="51"/>
    <col min="8204" max="8204" width="3" style="51" customWidth="1"/>
    <col min="8205" max="8217" width="0" style="51" hidden="1" customWidth="1"/>
    <col min="8218" max="8448" width="11.44140625" style="51"/>
    <col min="8449" max="8449" width="3" style="51" customWidth="1"/>
    <col min="8450" max="8450" width="23.44140625" style="51" bestFit="1" customWidth="1"/>
    <col min="8451" max="8452" width="9" style="51" customWidth="1"/>
    <col min="8453" max="8453" width="3" style="51" customWidth="1"/>
    <col min="8454" max="8459" width="11.44140625" style="51"/>
    <col min="8460" max="8460" width="3" style="51" customWidth="1"/>
    <col min="8461" max="8473" width="0" style="51" hidden="1" customWidth="1"/>
    <col min="8474" max="8704" width="11.44140625" style="51"/>
    <col min="8705" max="8705" width="3" style="51" customWidth="1"/>
    <col min="8706" max="8706" width="23.44140625" style="51" bestFit="1" customWidth="1"/>
    <col min="8707" max="8708" width="9" style="51" customWidth="1"/>
    <col min="8709" max="8709" width="3" style="51" customWidth="1"/>
    <col min="8710" max="8715" width="11.44140625" style="51"/>
    <col min="8716" max="8716" width="3" style="51" customWidth="1"/>
    <col min="8717" max="8729" width="0" style="51" hidden="1" customWidth="1"/>
    <col min="8730" max="8960" width="11.44140625" style="51"/>
    <col min="8961" max="8961" width="3" style="51" customWidth="1"/>
    <col min="8962" max="8962" width="23.44140625" style="51" bestFit="1" customWidth="1"/>
    <col min="8963" max="8964" width="9" style="51" customWidth="1"/>
    <col min="8965" max="8965" width="3" style="51" customWidth="1"/>
    <col min="8966" max="8971" width="11.44140625" style="51"/>
    <col min="8972" max="8972" width="3" style="51" customWidth="1"/>
    <col min="8973" max="8985" width="0" style="51" hidden="1" customWidth="1"/>
    <col min="8986" max="9216" width="11.44140625" style="51"/>
    <col min="9217" max="9217" width="3" style="51" customWidth="1"/>
    <col min="9218" max="9218" width="23.44140625" style="51" bestFit="1" customWidth="1"/>
    <col min="9219" max="9220" width="9" style="51" customWidth="1"/>
    <col min="9221" max="9221" width="3" style="51" customWidth="1"/>
    <col min="9222" max="9227" width="11.44140625" style="51"/>
    <col min="9228" max="9228" width="3" style="51" customWidth="1"/>
    <col min="9229" max="9241" width="0" style="51" hidden="1" customWidth="1"/>
    <col min="9242" max="9472" width="11.44140625" style="51"/>
    <col min="9473" max="9473" width="3" style="51" customWidth="1"/>
    <col min="9474" max="9474" width="23.44140625" style="51" bestFit="1" customWidth="1"/>
    <col min="9475" max="9476" width="9" style="51" customWidth="1"/>
    <col min="9477" max="9477" width="3" style="51" customWidth="1"/>
    <col min="9478" max="9483" width="11.44140625" style="51"/>
    <col min="9484" max="9484" width="3" style="51" customWidth="1"/>
    <col min="9485" max="9497" width="0" style="51" hidden="1" customWidth="1"/>
    <col min="9498" max="9728" width="11.44140625" style="51"/>
    <col min="9729" max="9729" width="3" style="51" customWidth="1"/>
    <col min="9730" max="9730" width="23.44140625" style="51" bestFit="1" customWidth="1"/>
    <col min="9731" max="9732" width="9" style="51" customWidth="1"/>
    <col min="9733" max="9733" width="3" style="51" customWidth="1"/>
    <col min="9734" max="9739" width="11.44140625" style="51"/>
    <col min="9740" max="9740" width="3" style="51" customWidth="1"/>
    <col min="9741" max="9753" width="0" style="51" hidden="1" customWidth="1"/>
    <col min="9754" max="9984" width="11.44140625" style="51"/>
    <col min="9985" max="9985" width="3" style="51" customWidth="1"/>
    <col min="9986" max="9986" width="23.44140625" style="51" bestFit="1" customWidth="1"/>
    <col min="9987" max="9988" width="9" style="51" customWidth="1"/>
    <col min="9989" max="9989" width="3" style="51" customWidth="1"/>
    <col min="9990" max="9995" width="11.44140625" style="51"/>
    <col min="9996" max="9996" width="3" style="51" customWidth="1"/>
    <col min="9997" max="10009" width="0" style="51" hidden="1" customWidth="1"/>
    <col min="10010" max="10240" width="11.44140625" style="51"/>
    <col min="10241" max="10241" width="3" style="51" customWidth="1"/>
    <col min="10242" max="10242" width="23.44140625" style="51" bestFit="1" customWidth="1"/>
    <col min="10243" max="10244" width="9" style="51" customWidth="1"/>
    <col min="10245" max="10245" width="3" style="51" customWidth="1"/>
    <col min="10246" max="10251" width="11.44140625" style="51"/>
    <col min="10252" max="10252" width="3" style="51" customWidth="1"/>
    <col min="10253" max="10265" width="0" style="51" hidden="1" customWidth="1"/>
    <col min="10266" max="10496" width="11.44140625" style="51"/>
    <col min="10497" max="10497" width="3" style="51" customWidth="1"/>
    <col min="10498" max="10498" width="23.44140625" style="51" bestFit="1" customWidth="1"/>
    <col min="10499" max="10500" width="9" style="51" customWidth="1"/>
    <col min="10501" max="10501" width="3" style="51" customWidth="1"/>
    <col min="10502" max="10507" width="11.44140625" style="51"/>
    <col min="10508" max="10508" width="3" style="51" customWidth="1"/>
    <col min="10509" max="10521" width="0" style="51" hidden="1" customWidth="1"/>
    <col min="10522" max="10752" width="11.44140625" style="51"/>
    <col min="10753" max="10753" width="3" style="51" customWidth="1"/>
    <col min="10754" max="10754" width="23.44140625" style="51" bestFit="1" customWidth="1"/>
    <col min="10755" max="10756" width="9" style="51" customWidth="1"/>
    <col min="10757" max="10757" width="3" style="51" customWidth="1"/>
    <col min="10758" max="10763" width="11.44140625" style="51"/>
    <col min="10764" max="10764" width="3" style="51" customWidth="1"/>
    <col min="10765" max="10777" width="0" style="51" hidden="1" customWidth="1"/>
    <col min="10778" max="11008" width="11.44140625" style="51"/>
    <col min="11009" max="11009" width="3" style="51" customWidth="1"/>
    <col min="11010" max="11010" width="23.44140625" style="51" bestFit="1" customWidth="1"/>
    <col min="11011" max="11012" width="9" style="51" customWidth="1"/>
    <col min="11013" max="11013" width="3" style="51" customWidth="1"/>
    <col min="11014" max="11019" width="11.44140625" style="51"/>
    <col min="11020" max="11020" width="3" style="51" customWidth="1"/>
    <col min="11021" max="11033" width="0" style="51" hidden="1" customWidth="1"/>
    <col min="11034" max="11264" width="11.44140625" style="51"/>
    <col min="11265" max="11265" width="3" style="51" customWidth="1"/>
    <col min="11266" max="11266" width="23.44140625" style="51" bestFit="1" customWidth="1"/>
    <col min="11267" max="11268" width="9" style="51" customWidth="1"/>
    <col min="11269" max="11269" width="3" style="51" customWidth="1"/>
    <col min="11270" max="11275" width="11.44140625" style="51"/>
    <col min="11276" max="11276" width="3" style="51" customWidth="1"/>
    <col min="11277" max="11289" width="0" style="51" hidden="1" customWidth="1"/>
    <col min="11290" max="11520" width="11.44140625" style="51"/>
    <col min="11521" max="11521" width="3" style="51" customWidth="1"/>
    <col min="11522" max="11522" width="23.44140625" style="51" bestFit="1" customWidth="1"/>
    <col min="11523" max="11524" width="9" style="51" customWidth="1"/>
    <col min="11525" max="11525" width="3" style="51" customWidth="1"/>
    <col min="11526" max="11531" width="11.44140625" style="51"/>
    <col min="11532" max="11532" width="3" style="51" customWidth="1"/>
    <col min="11533" max="11545" width="0" style="51" hidden="1" customWidth="1"/>
    <col min="11546" max="11776" width="11.44140625" style="51"/>
    <col min="11777" max="11777" width="3" style="51" customWidth="1"/>
    <col min="11778" max="11778" width="23.44140625" style="51" bestFit="1" customWidth="1"/>
    <col min="11779" max="11780" width="9" style="51" customWidth="1"/>
    <col min="11781" max="11781" width="3" style="51" customWidth="1"/>
    <col min="11782" max="11787" width="11.44140625" style="51"/>
    <col min="11788" max="11788" width="3" style="51" customWidth="1"/>
    <col min="11789" max="11801" width="0" style="51" hidden="1" customWidth="1"/>
    <col min="11802" max="12032" width="11.44140625" style="51"/>
    <col min="12033" max="12033" width="3" style="51" customWidth="1"/>
    <col min="12034" max="12034" width="23.44140625" style="51" bestFit="1" customWidth="1"/>
    <col min="12035" max="12036" width="9" style="51" customWidth="1"/>
    <col min="12037" max="12037" width="3" style="51" customWidth="1"/>
    <col min="12038" max="12043" width="11.44140625" style="51"/>
    <col min="12044" max="12044" width="3" style="51" customWidth="1"/>
    <col min="12045" max="12057" width="0" style="51" hidden="1" customWidth="1"/>
    <col min="12058" max="12288" width="11.44140625" style="51"/>
    <col min="12289" max="12289" width="3" style="51" customWidth="1"/>
    <col min="12290" max="12290" width="23.44140625" style="51" bestFit="1" customWidth="1"/>
    <col min="12291" max="12292" width="9" style="51" customWidth="1"/>
    <col min="12293" max="12293" width="3" style="51" customWidth="1"/>
    <col min="12294" max="12299" width="11.44140625" style="51"/>
    <col min="12300" max="12300" width="3" style="51" customWidth="1"/>
    <col min="12301" max="12313" width="0" style="51" hidden="1" customWidth="1"/>
    <col min="12314" max="12544" width="11.44140625" style="51"/>
    <col min="12545" max="12545" width="3" style="51" customWidth="1"/>
    <col min="12546" max="12546" width="23.44140625" style="51" bestFit="1" customWidth="1"/>
    <col min="12547" max="12548" width="9" style="51" customWidth="1"/>
    <col min="12549" max="12549" width="3" style="51" customWidth="1"/>
    <col min="12550" max="12555" width="11.44140625" style="51"/>
    <col min="12556" max="12556" width="3" style="51" customWidth="1"/>
    <col min="12557" max="12569" width="0" style="51" hidden="1" customWidth="1"/>
    <col min="12570" max="12800" width="11.44140625" style="51"/>
    <col min="12801" max="12801" width="3" style="51" customWidth="1"/>
    <col min="12802" max="12802" width="23.44140625" style="51" bestFit="1" customWidth="1"/>
    <col min="12803" max="12804" width="9" style="51" customWidth="1"/>
    <col min="12805" max="12805" width="3" style="51" customWidth="1"/>
    <col min="12806" max="12811" width="11.44140625" style="51"/>
    <col min="12812" max="12812" width="3" style="51" customWidth="1"/>
    <col min="12813" max="12825" width="0" style="51" hidden="1" customWidth="1"/>
    <col min="12826" max="13056" width="11.44140625" style="51"/>
    <col min="13057" max="13057" width="3" style="51" customWidth="1"/>
    <col min="13058" max="13058" width="23.44140625" style="51" bestFit="1" customWidth="1"/>
    <col min="13059" max="13060" width="9" style="51" customWidth="1"/>
    <col min="13061" max="13061" width="3" style="51" customWidth="1"/>
    <col min="13062" max="13067" width="11.44140625" style="51"/>
    <col min="13068" max="13068" width="3" style="51" customWidth="1"/>
    <col min="13069" max="13081" width="0" style="51" hidden="1" customWidth="1"/>
    <col min="13082" max="13312" width="11.44140625" style="51"/>
    <col min="13313" max="13313" width="3" style="51" customWidth="1"/>
    <col min="13314" max="13314" width="23.44140625" style="51" bestFit="1" customWidth="1"/>
    <col min="13315" max="13316" width="9" style="51" customWidth="1"/>
    <col min="13317" max="13317" width="3" style="51" customWidth="1"/>
    <col min="13318" max="13323" width="11.44140625" style="51"/>
    <col min="13324" max="13324" width="3" style="51" customWidth="1"/>
    <col min="13325" max="13337" width="0" style="51" hidden="1" customWidth="1"/>
    <col min="13338" max="13568" width="11.44140625" style="51"/>
    <col min="13569" max="13569" width="3" style="51" customWidth="1"/>
    <col min="13570" max="13570" width="23.44140625" style="51" bestFit="1" customWidth="1"/>
    <col min="13571" max="13572" width="9" style="51" customWidth="1"/>
    <col min="13573" max="13573" width="3" style="51" customWidth="1"/>
    <col min="13574" max="13579" width="11.44140625" style="51"/>
    <col min="13580" max="13580" width="3" style="51" customWidth="1"/>
    <col min="13581" max="13593" width="0" style="51" hidden="1" customWidth="1"/>
    <col min="13594" max="13824" width="11.44140625" style="51"/>
    <col min="13825" max="13825" width="3" style="51" customWidth="1"/>
    <col min="13826" max="13826" width="23.44140625" style="51" bestFit="1" customWidth="1"/>
    <col min="13827" max="13828" width="9" style="51" customWidth="1"/>
    <col min="13829" max="13829" width="3" style="51" customWidth="1"/>
    <col min="13830" max="13835" width="11.44140625" style="51"/>
    <col min="13836" max="13836" width="3" style="51" customWidth="1"/>
    <col min="13837" max="13849" width="0" style="51" hidden="1" customWidth="1"/>
    <col min="13850" max="14080" width="11.44140625" style="51"/>
    <col min="14081" max="14081" width="3" style="51" customWidth="1"/>
    <col min="14082" max="14082" width="23.44140625" style="51" bestFit="1" customWidth="1"/>
    <col min="14083" max="14084" width="9" style="51" customWidth="1"/>
    <col min="14085" max="14085" width="3" style="51" customWidth="1"/>
    <col min="14086" max="14091" width="11.44140625" style="51"/>
    <col min="14092" max="14092" width="3" style="51" customWidth="1"/>
    <col min="14093" max="14105" width="0" style="51" hidden="1" customWidth="1"/>
    <col min="14106" max="14336" width="11.44140625" style="51"/>
    <col min="14337" max="14337" width="3" style="51" customWidth="1"/>
    <col min="14338" max="14338" width="23.44140625" style="51" bestFit="1" customWidth="1"/>
    <col min="14339" max="14340" width="9" style="51" customWidth="1"/>
    <col min="14341" max="14341" width="3" style="51" customWidth="1"/>
    <col min="14342" max="14347" width="11.44140625" style="51"/>
    <col min="14348" max="14348" width="3" style="51" customWidth="1"/>
    <col min="14349" max="14361" width="0" style="51" hidden="1" customWidth="1"/>
    <col min="14362" max="14592" width="11.44140625" style="51"/>
    <col min="14593" max="14593" width="3" style="51" customWidth="1"/>
    <col min="14594" max="14594" width="23.44140625" style="51" bestFit="1" customWidth="1"/>
    <col min="14595" max="14596" width="9" style="51" customWidth="1"/>
    <col min="14597" max="14597" width="3" style="51" customWidth="1"/>
    <col min="14598" max="14603" width="11.44140625" style="51"/>
    <col min="14604" max="14604" width="3" style="51" customWidth="1"/>
    <col min="14605" max="14617" width="0" style="51" hidden="1" customWidth="1"/>
    <col min="14618" max="14848" width="11.44140625" style="51"/>
    <col min="14849" max="14849" width="3" style="51" customWidth="1"/>
    <col min="14850" max="14850" width="23.44140625" style="51" bestFit="1" customWidth="1"/>
    <col min="14851" max="14852" width="9" style="51" customWidth="1"/>
    <col min="14853" max="14853" width="3" style="51" customWidth="1"/>
    <col min="14854" max="14859" width="11.44140625" style="51"/>
    <col min="14860" max="14860" width="3" style="51" customWidth="1"/>
    <col min="14861" max="14873" width="0" style="51" hidden="1" customWidth="1"/>
    <col min="14874" max="15104" width="11.44140625" style="51"/>
    <col min="15105" max="15105" width="3" style="51" customWidth="1"/>
    <col min="15106" max="15106" width="23.44140625" style="51" bestFit="1" customWidth="1"/>
    <col min="15107" max="15108" width="9" style="51" customWidth="1"/>
    <col min="15109" max="15109" width="3" style="51" customWidth="1"/>
    <col min="15110" max="15115" width="11.44140625" style="51"/>
    <col min="15116" max="15116" width="3" style="51" customWidth="1"/>
    <col min="15117" max="15129" width="0" style="51" hidden="1" customWidth="1"/>
    <col min="15130" max="15360" width="11.44140625" style="51"/>
    <col min="15361" max="15361" width="3" style="51" customWidth="1"/>
    <col min="15362" max="15362" width="23.44140625" style="51" bestFit="1" customWidth="1"/>
    <col min="15363" max="15364" width="9" style="51" customWidth="1"/>
    <col min="15365" max="15365" width="3" style="51" customWidth="1"/>
    <col min="15366" max="15371" width="11.44140625" style="51"/>
    <col min="15372" max="15372" width="3" style="51" customWidth="1"/>
    <col min="15373" max="15385" width="0" style="51" hidden="1" customWidth="1"/>
    <col min="15386" max="15616" width="11.44140625" style="51"/>
    <col min="15617" max="15617" width="3" style="51" customWidth="1"/>
    <col min="15618" max="15618" width="23.44140625" style="51" bestFit="1" customWidth="1"/>
    <col min="15619" max="15620" width="9" style="51" customWidth="1"/>
    <col min="15621" max="15621" width="3" style="51" customWidth="1"/>
    <col min="15622" max="15627" width="11.44140625" style="51"/>
    <col min="15628" max="15628" width="3" style="51" customWidth="1"/>
    <col min="15629" max="15641" width="0" style="51" hidden="1" customWidth="1"/>
    <col min="15642" max="15872" width="11.44140625" style="51"/>
    <col min="15873" max="15873" width="3" style="51" customWidth="1"/>
    <col min="15874" max="15874" width="23.44140625" style="51" bestFit="1" customWidth="1"/>
    <col min="15875" max="15876" width="9" style="51" customWidth="1"/>
    <col min="15877" max="15877" width="3" style="51" customWidth="1"/>
    <col min="15878" max="15883" width="11.44140625" style="51"/>
    <col min="15884" max="15884" width="3" style="51" customWidth="1"/>
    <col min="15885" max="15897" width="0" style="51" hidden="1" customWidth="1"/>
    <col min="15898" max="16128" width="11.44140625" style="51"/>
    <col min="16129" max="16129" width="3" style="51" customWidth="1"/>
    <col min="16130" max="16130" width="23.44140625" style="51" bestFit="1" customWidth="1"/>
    <col min="16131" max="16132" width="9" style="51" customWidth="1"/>
    <col min="16133" max="16133" width="3" style="51" customWidth="1"/>
    <col min="16134" max="16139" width="11.44140625" style="51"/>
    <col min="16140" max="16140" width="3" style="51" customWidth="1"/>
    <col min="16141" max="16153" width="0" style="51" hidden="1" customWidth="1"/>
    <col min="16154" max="16384" width="11.44140625" style="51"/>
  </cols>
  <sheetData>
    <row r="1" spans="1:25" ht="15" thickBot="1">
      <c r="M1" s="52"/>
      <c r="N1" s="52"/>
      <c r="O1" s="52"/>
      <c r="P1" s="52"/>
      <c r="Q1" s="52"/>
      <c r="R1" s="52"/>
      <c r="S1" s="52"/>
      <c r="T1" s="52"/>
      <c r="U1" s="52"/>
      <c r="V1" s="52"/>
    </row>
    <row r="2" spans="1:25">
      <c r="B2" s="158" t="s">
        <v>163</v>
      </c>
      <c r="C2" s="159" t="s">
        <v>164</v>
      </c>
      <c r="D2" s="160" t="s">
        <v>165</v>
      </c>
      <c r="M2" s="52"/>
      <c r="N2" s="52"/>
      <c r="O2" s="52"/>
      <c r="P2" s="52"/>
      <c r="Q2" s="52"/>
      <c r="R2" s="52"/>
      <c r="S2" s="52"/>
      <c r="T2" s="52"/>
      <c r="U2" s="52"/>
      <c r="V2" s="52"/>
    </row>
    <row r="3" spans="1:25" ht="15" thickBot="1">
      <c r="B3" s="161" t="s">
        <v>8</v>
      </c>
      <c r="C3" s="162" t="s">
        <v>111</v>
      </c>
      <c r="D3" s="163" t="s">
        <v>111</v>
      </c>
      <c r="M3" s="62" t="s">
        <v>170</v>
      </c>
      <c r="N3" s="63"/>
      <c r="O3" s="63"/>
      <c r="P3" s="63"/>
      <c r="Q3" s="63"/>
      <c r="R3" s="63"/>
      <c r="S3" s="63"/>
      <c r="T3" s="63"/>
      <c r="U3" s="64"/>
      <c r="V3" s="65"/>
      <c r="W3" s="66" t="s">
        <v>62</v>
      </c>
      <c r="X3" s="67" t="s">
        <v>64</v>
      </c>
      <c r="Y3" s="68" t="s">
        <v>63</v>
      </c>
    </row>
    <row r="4" spans="1:25">
      <c r="A4" s="51" t="s">
        <v>14</v>
      </c>
      <c r="B4" s="747">
        <v>100</v>
      </c>
      <c r="C4" s="70">
        <f>'D6913'!F24</f>
        <v>100</v>
      </c>
      <c r="D4" s="164">
        <f t="shared" ref="D4:D19" si="0">IF(C4="",100,C4)</f>
        <v>100</v>
      </c>
      <c r="F4" s="165" t="s">
        <v>182</v>
      </c>
      <c r="G4" s="166"/>
      <c r="H4" s="166"/>
      <c r="I4" s="167">
        <f>X24</f>
        <v>4.2500872772773981</v>
      </c>
      <c r="J4" s="731" t="s">
        <v>54</v>
      </c>
      <c r="K4" s="732"/>
      <c r="M4" s="75"/>
      <c r="N4" s="76"/>
      <c r="O4" s="76"/>
      <c r="P4" s="76"/>
      <c r="Q4" s="76"/>
      <c r="R4" s="76"/>
      <c r="S4" s="76"/>
      <c r="T4" s="76"/>
      <c r="U4" s="77"/>
      <c r="V4" s="52"/>
      <c r="W4" s="78" t="str">
        <f t="shared" ref="W4:W18" si="1">IF(AND(D4=60,D5=60),((B4+B5)/2),IF(AND(D4&gt;=60,D5&lt;=60),FORECAST(60,B4:B5,D4:D5),""))</f>
        <v/>
      </c>
      <c r="X4" s="168" t="str">
        <f t="shared" ref="X4:X18" si="2">IF(AND(D4=30,D5=30),((B4+B5)/2),IF(AND(D4&gt;=30,D5&lt;=30),FORECAST(30,B4:B5,D4:D5),""))</f>
        <v/>
      </c>
      <c r="Y4" s="169" t="str">
        <f t="shared" ref="Y4:Y18" si="3">IF(AND(D4=10,D5=10),((B4+B5)/2),IF(AND(D4&gt;=10,D5&lt;=10),FORECAST(10,B4:B5,D4:D5),""))</f>
        <v/>
      </c>
    </row>
    <row r="5" spans="1:25">
      <c r="A5" s="51" t="s">
        <v>6</v>
      </c>
      <c r="B5" s="746">
        <v>80</v>
      </c>
      <c r="C5" s="70">
        <f>'D6913'!F25</f>
        <v>96.337256541333346</v>
      </c>
      <c r="D5" s="171">
        <f t="shared" si="0"/>
        <v>96.337256541333346</v>
      </c>
      <c r="F5" s="172" t="s">
        <v>183</v>
      </c>
      <c r="G5" s="173"/>
      <c r="H5" s="173"/>
      <c r="I5" s="146">
        <f>X25</f>
        <v>0.42955569148806183</v>
      </c>
      <c r="J5" s="52" t="s">
        <v>54</v>
      </c>
      <c r="K5" s="174"/>
      <c r="M5" s="62"/>
      <c r="N5" s="63"/>
      <c r="O5" s="63"/>
      <c r="P5" s="81" t="str">
        <f>IF(D19&lt;50,"Suelo de partículas gruesas.","")</f>
        <v>Suelo de partículas gruesas.</v>
      </c>
      <c r="Q5" s="63"/>
      <c r="R5" s="63"/>
      <c r="S5" s="63"/>
      <c r="T5" s="63"/>
      <c r="U5" s="64"/>
      <c r="V5" s="52"/>
      <c r="W5" s="82" t="str">
        <f t="shared" si="1"/>
        <v/>
      </c>
      <c r="X5" s="175" t="str">
        <f t="shared" si="2"/>
        <v/>
      </c>
      <c r="Y5" s="176" t="str">
        <f t="shared" si="3"/>
        <v/>
      </c>
    </row>
    <row r="6" spans="1:25">
      <c r="A6" s="51" t="s">
        <v>15</v>
      </c>
      <c r="B6" s="746">
        <v>63</v>
      </c>
      <c r="C6" s="70">
        <f>'D6913'!F26</f>
        <v>93.104579154284067</v>
      </c>
      <c r="D6" s="171">
        <f t="shared" si="0"/>
        <v>93.104579154284067</v>
      </c>
      <c r="F6" s="172" t="s">
        <v>184</v>
      </c>
      <c r="G6" s="173"/>
      <c r="H6" s="173"/>
      <c r="I6" s="146" t="str">
        <f>X26</f>
        <v/>
      </c>
      <c r="J6" s="52" t="s">
        <v>54</v>
      </c>
      <c r="K6" s="174"/>
      <c r="M6" s="85"/>
      <c r="N6" s="52"/>
      <c r="O6" s="52"/>
      <c r="P6" s="52" t="str">
        <f>IF(D19&lt;5," Suelo limpio.","")</f>
        <v/>
      </c>
      <c r="Q6" s="52"/>
      <c r="R6" s="52"/>
      <c r="S6" s="52"/>
      <c r="T6" s="52"/>
      <c r="U6" s="86"/>
      <c r="V6" s="52"/>
      <c r="W6" s="82" t="str">
        <f t="shared" si="1"/>
        <v/>
      </c>
      <c r="X6" s="175" t="str">
        <f t="shared" si="2"/>
        <v/>
      </c>
      <c r="Y6" s="176" t="str">
        <f t="shared" si="3"/>
        <v/>
      </c>
    </row>
    <row r="7" spans="1:25">
      <c r="A7" s="51" t="s">
        <v>16</v>
      </c>
      <c r="B7" s="746">
        <v>50</v>
      </c>
      <c r="C7" s="70">
        <f>'D6913'!F27</f>
        <v>90.279999827335359</v>
      </c>
      <c r="D7" s="171">
        <f t="shared" si="0"/>
        <v>90.279999827335359</v>
      </c>
      <c r="F7" s="177" t="s">
        <v>180</v>
      </c>
      <c r="G7" s="173"/>
      <c r="H7" s="173"/>
      <c r="I7" s="146" t="str">
        <f>X27</f>
        <v/>
      </c>
      <c r="J7" s="52"/>
      <c r="K7" s="174"/>
      <c r="M7" s="85"/>
      <c r="N7" s="52"/>
      <c r="O7" s="52"/>
      <c r="P7" s="52" t="str">
        <f>IF(AND(D19&gt;12,D19&lt;50)," Suelo de partículas gruesas con finos (suelo sucio).","")</f>
        <v xml:space="preserve"> Suelo de partículas gruesas con finos (suelo sucio).</v>
      </c>
      <c r="Q7" s="52"/>
      <c r="R7" s="52"/>
      <c r="S7" s="52"/>
      <c r="T7" s="52"/>
      <c r="U7" s="86"/>
      <c r="V7" s="52"/>
      <c r="W7" s="82" t="str">
        <f t="shared" si="1"/>
        <v/>
      </c>
      <c r="X7" s="175" t="str">
        <f t="shared" si="2"/>
        <v/>
      </c>
      <c r="Y7" s="176" t="str">
        <f t="shared" si="3"/>
        <v/>
      </c>
    </row>
    <row r="8" spans="1:25" ht="15" thickBot="1">
      <c r="A8" s="51" t="s">
        <v>17</v>
      </c>
      <c r="B8" s="746">
        <v>40</v>
      </c>
      <c r="C8" s="70">
        <f>'D6913'!F28</f>
        <v>86.400955947580215</v>
      </c>
      <c r="D8" s="171">
        <f t="shared" si="0"/>
        <v>86.400955947580215</v>
      </c>
      <c r="F8" s="178" t="s">
        <v>181</v>
      </c>
      <c r="G8" s="179"/>
      <c r="H8" s="179"/>
      <c r="I8" s="180" t="str">
        <f>X28</f>
        <v/>
      </c>
      <c r="J8" s="181"/>
      <c r="K8" s="182"/>
      <c r="M8" s="85"/>
      <c r="N8" s="52"/>
      <c r="O8" s="52"/>
      <c r="P8" s="52" t="str">
        <f>IF(AND(D19&gt;=5,D19&lt;=12),"( Nomenclatura con símbolo doble).","")</f>
        <v/>
      </c>
      <c r="Q8" s="52"/>
      <c r="R8" s="52"/>
      <c r="S8" s="52"/>
      <c r="T8" s="52"/>
      <c r="U8" s="86"/>
      <c r="V8" s="52"/>
      <c r="W8" s="82" t="str">
        <f t="shared" si="1"/>
        <v/>
      </c>
      <c r="X8" s="175" t="str">
        <f t="shared" si="2"/>
        <v/>
      </c>
      <c r="Y8" s="176" t="str">
        <f t="shared" si="3"/>
        <v/>
      </c>
    </row>
    <row r="9" spans="1:25">
      <c r="A9" s="51" t="s">
        <v>18</v>
      </c>
      <c r="B9" s="746">
        <v>25</v>
      </c>
      <c r="C9" s="70">
        <f>'D6913'!F29</f>
        <v>81.448014274061421</v>
      </c>
      <c r="D9" s="171">
        <f t="shared" si="0"/>
        <v>81.448014274061421</v>
      </c>
      <c r="M9" s="85" t="str">
        <f>IF(X23&lt;50,"SI","No")</f>
        <v>SI</v>
      </c>
      <c r="N9" s="52" t="str">
        <f>IF(W42&gt;W47/2,"SI","No")</f>
        <v>No</v>
      </c>
      <c r="O9" s="52" t="b">
        <f>AND(M9="SI",N9="SI")</f>
        <v>0</v>
      </c>
      <c r="P9" s="52" t="str">
        <f>IF(O9=TRUE,"Grava","")</f>
        <v/>
      </c>
      <c r="Q9" s="52"/>
      <c r="R9" s="52"/>
      <c r="S9" s="52"/>
      <c r="T9" s="52"/>
      <c r="U9" s="86" t="str">
        <f>IF(OR(X32&gt;0,X33&gt;0)," con bloques","")</f>
        <v xml:space="preserve"> con bloques</v>
      </c>
      <c r="V9" s="52"/>
      <c r="W9" s="82" t="str">
        <f t="shared" si="1"/>
        <v/>
      </c>
      <c r="X9" s="175" t="str">
        <f t="shared" si="2"/>
        <v/>
      </c>
      <c r="Y9" s="176" t="str">
        <f t="shared" si="3"/>
        <v/>
      </c>
    </row>
    <row r="10" spans="1:25">
      <c r="A10" s="51" t="s">
        <v>19</v>
      </c>
      <c r="B10" s="746">
        <v>20</v>
      </c>
      <c r="C10" s="70">
        <f>'D6913'!F30</f>
        <v>78.32602186811603</v>
      </c>
      <c r="D10" s="171">
        <f t="shared" si="0"/>
        <v>78.32602186811603</v>
      </c>
      <c r="M10" s="85"/>
      <c r="N10" s="52"/>
      <c r="O10" s="52"/>
      <c r="P10" s="52"/>
      <c r="Q10" s="52" t="b">
        <f>AND(D19&lt;5,X27&gt;=4,X28&gt;=1,X28&lt;=3)</f>
        <v>0</v>
      </c>
      <c r="R10" s="52" t="b">
        <f>AND(P9="Grava",Q10=TRUE)</f>
        <v>0</v>
      </c>
      <c r="S10" s="52" t="str">
        <f>IF(R10=TRUE," bien graduada","")</f>
        <v/>
      </c>
      <c r="T10" s="52" t="str">
        <f>IF(S10=" bien graduada"," GW","")</f>
        <v/>
      </c>
      <c r="U10" s="86"/>
      <c r="V10" s="52"/>
      <c r="W10" s="82" t="str">
        <f t="shared" si="1"/>
        <v/>
      </c>
      <c r="X10" s="175" t="str">
        <f t="shared" si="2"/>
        <v/>
      </c>
      <c r="Y10" s="176" t="str">
        <f t="shared" si="3"/>
        <v/>
      </c>
    </row>
    <row r="11" spans="1:25">
      <c r="A11" s="51" t="s">
        <v>21</v>
      </c>
      <c r="B11" s="746">
        <v>12.5</v>
      </c>
      <c r="C11" s="70">
        <f>'D6913'!F31</f>
        <v>72.830639294836232</v>
      </c>
      <c r="D11" s="171">
        <f t="shared" si="0"/>
        <v>72.830639294836232</v>
      </c>
      <c r="M11" s="85"/>
      <c r="N11" s="52"/>
      <c r="O11" s="52"/>
      <c r="P11" s="52"/>
      <c r="Q11" s="52" t="b">
        <f>AND(D19&lt;5,OR(X27&lt;4,X28&lt;1,X28&gt;3))</f>
        <v>0</v>
      </c>
      <c r="R11" s="52" t="b">
        <f>AND(P9="Grava",Q11=TRUE)</f>
        <v>0</v>
      </c>
      <c r="S11" s="52" t="str">
        <f>IF(R11=TRUE," mal graduada","")</f>
        <v/>
      </c>
      <c r="T11" s="52" t="str">
        <f>IF(S11=" mal graduada"," GP","")</f>
        <v/>
      </c>
      <c r="U11" s="86"/>
      <c r="V11" s="52"/>
      <c r="W11" s="82" t="str">
        <f t="shared" si="1"/>
        <v/>
      </c>
      <c r="X11" s="175" t="str">
        <f t="shared" si="2"/>
        <v/>
      </c>
      <c r="Y11" s="176" t="str">
        <f t="shared" si="3"/>
        <v/>
      </c>
    </row>
    <row r="12" spans="1:25">
      <c r="A12" s="51" t="s">
        <v>23</v>
      </c>
      <c r="B12" s="746">
        <v>10</v>
      </c>
      <c r="C12" s="70">
        <f>'D6913'!F32</f>
        <v>70.05591045556028</v>
      </c>
      <c r="D12" s="171">
        <f t="shared" si="0"/>
        <v>70.05591045556028</v>
      </c>
      <c r="M12" s="85"/>
      <c r="N12" s="52"/>
      <c r="O12" s="52"/>
      <c r="P12" s="52"/>
      <c r="Q12" s="52" t="b">
        <f>AND(D19&gt;12,OR(AND(C21&lt;=30,C23&gt;7),AND(C21&gt;30,C23&gt;(0.73*(C21-20)))))</f>
        <v>0</v>
      </c>
      <c r="R12" s="52" t="b">
        <f>AND(P9="Grava",Q12=TRUE)</f>
        <v>0</v>
      </c>
      <c r="S12" s="52" t="str">
        <f>IF(R12=TRUE," arcillosa","")</f>
        <v/>
      </c>
      <c r="T12" s="52" t="str">
        <f>IF(S12=" arcillosa"," GC","")</f>
        <v/>
      </c>
      <c r="U12" s="86"/>
      <c r="V12" s="52"/>
      <c r="W12" s="82" t="str">
        <f t="shared" si="1"/>
        <v/>
      </c>
      <c r="X12" s="175" t="str">
        <f t="shared" si="2"/>
        <v/>
      </c>
      <c r="Y12" s="176" t="str">
        <f t="shared" si="3"/>
        <v/>
      </c>
    </row>
    <row r="13" spans="1:25">
      <c r="A13" s="51" t="s">
        <v>25</v>
      </c>
      <c r="B13" s="746">
        <v>6.3</v>
      </c>
      <c r="C13" s="70">
        <f>'D6913'!F33</f>
        <v>65.444317884071779</v>
      </c>
      <c r="D13" s="171">
        <f t="shared" si="0"/>
        <v>65.444317884071779</v>
      </c>
      <c r="M13" s="85"/>
      <c r="N13" s="52"/>
      <c r="O13" s="52"/>
      <c r="P13" s="52"/>
      <c r="Q13" s="52" t="b">
        <f>AND(D19&gt;12,OR(C23&lt;4,C23&lt;(0.73*(C21-20))))</f>
        <v>1</v>
      </c>
      <c r="R13" s="52" t="b">
        <f>AND(P9="Grava",Q13=TRUE)</f>
        <v>0</v>
      </c>
      <c r="S13" s="52" t="str">
        <f>IF(R13=TRUE," limosa","")</f>
        <v/>
      </c>
      <c r="T13" s="52" t="str">
        <f>IF(S13=" limosa"," GM","")</f>
        <v/>
      </c>
      <c r="U13" s="86"/>
      <c r="V13" s="52"/>
      <c r="W13" s="82" t="str">
        <f t="shared" si="1"/>
        <v/>
      </c>
      <c r="X13" s="175" t="str">
        <f t="shared" si="2"/>
        <v/>
      </c>
      <c r="Y13" s="176" t="str">
        <f t="shared" si="3"/>
        <v/>
      </c>
    </row>
    <row r="14" spans="1:25">
      <c r="A14" s="51" t="s">
        <v>27</v>
      </c>
      <c r="B14" s="746">
        <v>5</v>
      </c>
      <c r="C14" s="70">
        <f>'D6913'!F34</f>
        <v>62.47525663522412</v>
      </c>
      <c r="D14" s="171">
        <f t="shared" si="0"/>
        <v>62.47525663522412</v>
      </c>
      <c r="M14" s="85"/>
      <c r="N14" s="52"/>
      <c r="O14" s="52"/>
      <c r="P14" s="52"/>
      <c r="Q14" s="52" t="b">
        <f>AND(D19&gt;12,C23&gt;(0.73*(C21-20)),C23&gt;=4,C23&lt;=7)</f>
        <v>0</v>
      </c>
      <c r="R14" s="52" t="b">
        <f>AND(P9="Grava",Q14=TRUE)</f>
        <v>0</v>
      </c>
      <c r="S14" s="52" t="str">
        <f>IF(R14=TRUE," arcilloso-limosa","")</f>
        <v/>
      </c>
      <c r="T14" s="52" t="str">
        <f>IF(S14=" arcilloso-limosa"," GC-GM","")</f>
        <v/>
      </c>
      <c r="U14" s="86"/>
      <c r="V14" s="52"/>
      <c r="W14" s="82">
        <f t="shared" si="1"/>
        <v>4.2500872772773981</v>
      </c>
      <c r="X14" s="175" t="str">
        <f t="shared" si="2"/>
        <v/>
      </c>
      <c r="Y14" s="176" t="str">
        <f t="shared" si="3"/>
        <v/>
      </c>
    </row>
    <row r="15" spans="1:25">
      <c r="A15" s="51" t="s">
        <v>29</v>
      </c>
      <c r="B15" s="746">
        <v>2</v>
      </c>
      <c r="C15" s="70">
        <f>'D6913'!F36</f>
        <v>52.573077780713355</v>
      </c>
      <c r="D15" s="171">
        <f t="shared" si="0"/>
        <v>52.573077780713355</v>
      </c>
      <c r="F15" s="52"/>
      <c r="M15" s="85"/>
      <c r="N15" s="52"/>
      <c r="O15" s="52"/>
      <c r="P15" s="52"/>
      <c r="Q15" s="52" t="b">
        <f>AND(D19&gt;=5,D19&lt;=12,X27&gt;=4,X28&gt;=1,X28&lt;=3)</f>
        <v>0</v>
      </c>
      <c r="R15" s="52" t="b">
        <f>AND(P9="Grava",Q15=TRUE)</f>
        <v>0</v>
      </c>
      <c r="S15" s="52" t="str">
        <f>IF(R15=TRUE," bien graduada","")</f>
        <v/>
      </c>
      <c r="T15" s="52" t="str">
        <f>IF(S15=" bien graduada"," GW","")</f>
        <v/>
      </c>
      <c r="U15" s="86"/>
      <c r="V15" s="52"/>
      <c r="W15" s="82" t="str">
        <f t="shared" si="1"/>
        <v/>
      </c>
      <c r="X15" s="175" t="str">
        <f t="shared" si="2"/>
        <v/>
      </c>
      <c r="Y15" s="176" t="str">
        <f t="shared" si="3"/>
        <v/>
      </c>
    </row>
    <row r="16" spans="1:25" ht="15" thickBot="1">
      <c r="A16" s="51" t="s">
        <v>32</v>
      </c>
      <c r="B16" s="746">
        <v>1.25</v>
      </c>
      <c r="C16" s="70">
        <f>'D6913'!F37</f>
        <v>43.726900517330485</v>
      </c>
      <c r="D16" s="171">
        <f t="shared" si="0"/>
        <v>43.726900517330485</v>
      </c>
      <c r="M16" s="85"/>
      <c r="N16" s="52"/>
      <c r="O16" s="52"/>
      <c r="P16" s="52"/>
      <c r="Q16" s="52" t="b">
        <f>AND(D19&gt;=5,D19&lt;=12,OR(X27&lt;4,X28&lt;1,X28&gt;3))</f>
        <v>0</v>
      </c>
      <c r="R16" s="52" t="b">
        <f>AND(P9="Grava",Q16=TRUE)</f>
        <v>0</v>
      </c>
      <c r="S16" s="52" t="str">
        <f>IF(R16=TRUE," mal graduada","")</f>
        <v/>
      </c>
      <c r="T16" s="52" t="str">
        <f>IF(S16=" mal graduada"," GP","")</f>
        <v/>
      </c>
      <c r="U16" s="86"/>
      <c r="V16" s="52"/>
      <c r="W16" s="82" t="str">
        <f t="shared" si="1"/>
        <v/>
      </c>
      <c r="X16" s="175">
        <f t="shared" si="2"/>
        <v>0.42955569148806183</v>
      </c>
      <c r="Y16" s="176" t="str">
        <f t="shared" si="3"/>
        <v/>
      </c>
    </row>
    <row r="17" spans="1:25" ht="15" thickBot="1">
      <c r="A17" s="51" t="s">
        <v>38</v>
      </c>
      <c r="B17" s="746">
        <v>0.4</v>
      </c>
      <c r="C17" s="70">
        <f>'D6913'!F40</f>
        <v>29.505502040091685</v>
      </c>
      <c r="D17" s="171">
        <f t="shared" si="0"/>
        <v>29.505502040091685</v>
      </c>
      <c r="F17" s="1219" t="s">
        <v>170</v>
      </c>
      <c r="G17" s="1220"/>
      <c r="H17" s="1220"/>
      <c r="I17" s="1220"/>
      <c r="J17" s="1220"/>
      <c r="K17" s="1221"/>
      <c r="M17" s="85"/>
      <c r="N17" s="52"/>
      <c r="O17" s="52"/>
      <c r="P17" s="52"/>
      <c r="Q17" s="52" t="b">
        <f>AND(D19&gt;=5,D19&lt;=12,OR(AND(C21&lt;=30,C23&gt;7),AND(C21&gt;30,C23&gt;(0.73*(C21-20)))))</f>
        <v>0</v>
      </c>
      <c r="R17" s="52" t="b">
        <f>AND(P9="Grava",Q17=TRUE)</f>
        <v>0</v>
      </c>
      <c r="S17" s="52" t="str">
        <f>IF(R17=TRUE," con arcilla","")</f>
        <v/>
      </c>
      <c r="T17" s="52" t="str">
        <f>IF(S17=" con arcilla"," GC","")</f>
        <v/>
      </c>
      <c r="U17" s="86"/>
      <c r="V17" s="52"/>
      <c r="W17" s="82" t="str">
        <f t="shared" si="1"/>
        <v/>
      </c>
      <c r="X17" s="175" t="str">
        <f t="shared" si="2"/>
        <v/>
      </c>
      <c r="Y17" s="176" t="str">
        <f t="shared" si="3"/>
        <v/>
      </c>
    </row>
    <row r="18" spans="1:25">
      <c r="A18" s="51" t="s">
        <v>42</v>
      </c>
      <c r="B18" s="170">
        <v>0.16</v>
      </c>
      <c r="C18" s="70">
        <f>'D6913'!F44</f>
        <v>21.066145061815462</v>
      </c>
      <c r="D18" s="171">
        <f t="shared" si="0"/>
        <v>21.066145061815462</v>
      </c>
      <c r="F18" s="1222" t="str">
        <f>IF(AND(C4="",C5="",C6="",C7="",C8="",C9="",C10="",C11="",C12="",C13="",C14="",C15="",C16="",C17="",C18="",C19=""),"",M42)</f>
        <v>Suelo de partículas gruesas. Suelo de partículas gruesas con finos (suelo sucio).</v>
      </c>
      <c r="G18" s="1223"/>
      <c r="H18" s="1223"/>
      <c r="I18" s="1223"/>
      <c r="J18" s="1223"/>
      <c r="K18" s="1224"/>
      <c r="M18" s="85"/>
      <c r="N18" s="52"/>
      <c r="O18" s="52"/>
      <c r="P18" s="52"/>
      <c r="Q18" s="52" t="b">
        <f>AND(D19&gt;=5,D19&lt;=12,OR(C23&lt;4,C23&lt;(0.73*(C21-20))))</f>
        <v>0</v>
      </c>
      <c r="R18" s="52" t="b">
        <f>AND(P9="Grava",Q18=TRUE)</f>
        <v>0</v>
      </c>
      <c r="S18" s="52" t="str">
        <f>IF(R18=TRUE," con limo","")</f>
        <v/>
      </c>
      <c r="T18" s="52" t="str">
        <f>IF(S18=" con limo"," GM","")</f>
        <v/>
      </c>
      <c r="U18" s="86"/>
      <c r="V18" s="52"/>
      <c r="W18" s="88" t="str">
        <f t="shared" si="1"/>
        <v/>
      </c>
      <c r="X18" s="745" t="str">
        <f t="shared" si="2"/>
        <v/>
      </c>
      <c r="Y18" s="744" t="str">
        <f t="shared" si="3"/>
        <v/>
      </c>
    </row>
    <row r="19" spans="1:25" ht="15" thickBot="1">
      <c r="A19" s="51" t="s">
        <v>43</v>
      </c>
      <c r="B19" s="183">
        <v>0.08</v>
      </c>
      <c r="C19" s="92">
        <f>'D6913'!F46</f>
        <v>17.326860739133082</v>
      </c>
      <c r="D19" s="184">
        <f t="shared" si="0"/>
        <v>17.326860739133082</v>
      </c>
      <c r="F19" s="1225" t="str">
        <f>IF(AND(C4="",C5="",C6="",C7="",C8="",C9="",C10="",C11="",C12="",C13="",C14="",C15="",C16="",C17="",C18="",C19=""),"",Q43)</f>
        <v>Arena limosa con grava con bloques SM</v>
      </c>
      <c r="G19" s="1226"/>
      <c r="H19" s="1226"/>
      <c r="I19" s="1226"/>
      <c r="J19" s="1226"/>
      <c r="K19" s="1227"/>
      <c r="M19" s="85"/>
      <c r="N19" s="52"/>
      <c r="O19" s="52"/>
      <c r="P19" s="52"/>
      <c r="Q19" s="52" t="b">
        <f>AND(D19&gt;=5,D19&lt;=12,C23&gt;(0.73*(C21-20)),C23&gt;=4,C23&lt;=7)</f>
        <v>0</v>
      </c>
      <c r="R19" s="52" t="b">
        <f>AND(P9="Grava",Q19=TRUE)</f>
        <v>0</v>
      </c>
      <c r="S19" s="52" t="str">
        <f>IF(R19=TRUE," con arcilla y limo","")</f>
        <v/>
      </c>
      <c r="T19" s="52" t="str">
        <f>IF(S19=" con arcilla y limo"," GC","")</f>
        <v/>
      </c>
      <c r="U19" s="86"/>
      <c r="V19" s="52"/>
      <c r="W19" s="96">
        <f>AVERAGE(W4:W18)</f>
        <v>4.2500872772773981</v>
      </c>
      <c r="X19" s="185">
        <f>AVERAGE(X4:X18)</f>
        <v>0.42955569148806183</v>
      </c>
      <c r="Y19" s="186" t="e">
        <f>AVERAGE(Y4:Y18)</f>
        <v>#DIV/0!</v>
      </c>
    </row>
    <row r="20" spans="1:25" ht="15" thickBot="1">
      <c r="F20" s="52"/>
      <c r="M20" s="85"/>
      <c r="N20" s="52"/>
      <c r="O20" s="52"/>
      <c r="P20" s="52"/>
      <c r="Q20" s="52"/>
      <c r="R20" s="52" t="b">
        <f>AND(P9="Grava",(X43+X44+X45+X46+X47)&gt;15)</f>
        <v>0</v>
      </c>
      <c r="S20" s="52" t="str">
        <f>IF(R20=TRUE," con arena","")</f>
        <v/>
      </c>
      <c r="T20" s="52"/>
      <c r="U20" s="86"/>
      <c r="V20" s="52"/>
      <c r="W20" s="99" t="b">
        <f>ISNUMBER(W19)</f>
        <v>1</v>
      </c>
      <c r="X20" s="100" t="b">
        <f>ISNUMBER(X19)</f>
        <v>1</v>
      </c>
      <c r="Y20" s="101" t="b">
        <f>ISNUMBER(Y19)</f>
        <v>0</v>
      </c>
    </row>
    <row r="21" spans="1:25" ht="12.75" customHeight="1">
      <c r="B21" s="187" t="s">
        <v>185</v>
      </c>
      <c r="C21" s="102">
        <f>IF('D6913'!L34="NP",0,'D6913'!K34)</f>
        <v>0</v>
      </c>
      <c r="D21" s="732" t="s">
        <v>31</v>
      </c>
      <c r="F21" s="1228" t="str">
        <f>IF(AND(C4="",C5="",C6="",C7="",C8="",C9="",C10="",C11="",C12="",C13="",C14="",C15="",C16="",C17="",C18="",C19=""),"",F19)</f>
        <v>Arena limosa con grava con bloques SM</v>
      </c>
      <c r="G21" s="1229"/>
      <c r="H21" s="1229"/>
      <c r="I21" s="1229"/>
      <c r="J21" s="1229"/>
      <c r="K21" s="1230"/>
      <c r="M21" s="85" t="str">
        <f>IF(X23&lt;50,"SI","No")</f>
        <v>SI</v>
      </c>
      <c r="N21" s="52" t="str">
        <f>IF(W42&lt;W47/2,"SI","No")</f>
        <v>SI</v>
      </c>
      <c r="O21" s="52" t="b">
        <f>AND(M21="SI",N21="SI")</f>
        <v>1</v>
      </c>
      <c r="P21" s="52" t="str">
        <f>IF(O21=TRUE,"Arena","")</f>
        <v>Arena</v>
      </c>
      <c r="Q21" s="52"/>
      <c r="R21" s="52"/>
      <c r="S21" s="52"/>
      <c r="T21" s="52"/>
      <c r="U21" s="86"/>
      <c r="V21" s="52"/>
      <c r="W21" s="52"/>
      <c r="X21" s="52"/>
      <c r="Y21" s="52"/>
    </row>
    <row r="22" spans="1:25" ht="12.75" customHeight="1">
      <c r="B22" s="188" t="s">
        <v>186</v>
      </c>
      <c r="C22" s="70">
        <f>IF('D6913'!L35="NP",0,'D6913'!K35)</f>
        <v>0</v>
      </c>
      <c r="D22" s="174" t="s">
        <v>31</v>
      </c>
      <c r="F22" s="1231"/>
      <c r="G22" s="1232"/>
      <c r="H22" s="1232"/>
      <c r="I22" s="1232"/>
      <c r="J22" s="1232"/>
      <c r="K22" s="1233"/>
      <c r="M22" s="85"/>
      <c r="N22" s="52"/>
      <c r="O22" s="52"/>
      <c r="P22" s="52"/>
      <c r="Q22" s="52" t="b">
        <f>AND(D19&lt;5,X27&gt;=6,X28&gt;=1,X28&lt;=3)</f>
        <v>0</v>
      </c>
      <c r="R22" s="52" t="b">
        <f>AND(P21="Arena",Q22=TRUE)</f>
        <v>0</v>
      </c>
      <c r="S22" s="52" t="str">
        <f>IF(AND(R22=TRUE,D19&lt;=12,D19&lt;50)," bien graduada","")</f>
        <v/>
      </c>
      <c r="T22" s="52" t="str">
        <f>IF(S22=" bien graduada"," SW","")</f>
        <v/>
      </c>
      <c r="U22" s="86"/>
      <c r="V22" s="52"/>
      <c r="W22" s="62" t="s">
        <v>174</v>
      </c>
      <c r="X22" s="189">
        <f>D14</f>
        <v>62.47525663522412</v>
      </c>
      <c r="Y22" s="64" t="s">
        <v>31</v>
      </c>
    </row>
    <row r="23" spans="1:25" ht="13.5" customHeight="1" thickBot="1">
      <c r="B23" s="190" t="s">
        <v>187</v>
      </c>
      <c r="C23" s="191">
        <f>C21-C22</f>
        <v>0</v>
      </c>
      <c r="D23" s="182" t="s">
        <v>31</v>
      </c>
      <c r="F23" s="1234"/>
      <c r="G23" s="1235"/>
      <c r="H23" s="1235"/>
      <c r="I23" s="1235"/>
      <c r="J23" s="1235"/>
      <c r="K23" s="1236"/>
      <c r="M23" s="85"/>
      <c r="N23" s="52"/>
      <c r="O23" s="52"/>
      <c r="P23" s="52"/>
      <c r="Q23" s="52" t="b">
        <f>AND(D19&lt;5,OR(X27&lt;6,X28&lt;1,X28&gt;3))</f>
        <v>0</v>
      </c>
      <c r="R23" s="52" t="b">
        <f>AND(P21="Arena",Q23=TRUE)</f>
        <v>0</v>
      </c>
      <c r="S23" s="52" t="str">
        <f>IF(AND(R23=TRUE,D19&lt;=12,D19&lt;50)," mal graduada","")</f>
        <v/>
      </c>
      <c r="T23" s="52" t="str">
        <f>IF(S23=" mal graduada"," SP","")</f>
        <v/>
      </c>
      <c r="U23" s="86"/>
      <c r="V23" s="52"/>
      <c r="W23" s="85" t="s">
        <v>175</v>
      </c>
      <c r="X23" s="146">
        <f>D19</f>
        <v>17.326860739133082</v>
      </c>
      <c r="Y23" s="86" t="s">
        <v>31</v>
      </c>
    </row>
    <row r="24" spans="1:25" ht="13.5" customHeight="1">
      <c r="F24" s="192"/>
      <c r="G24" s="192"/>
      <c r="H24" s="192"/>
      <c r="I24" s="192"/>
      <c r="J24" s="192"/>
      <c r="K24" s="192"/>
      <c r="M24" s="85"/>
      <c r="N24" s="52"/>
      <c r="O24" s="52"/>
      <c r="P24" s="52"/>
      <c r="Q24" s="52" t="b">
        <f>AND(D19&gt;12,OR(AND(C21&lt;=30,C23&gt;7),AND(C21&gt;30,C23&gt;(0.73*(C21-20)))))</f>
        <v>0</v>
      </c>
      <c r="R24" s="52" t="b">
        <f>AND(P21="Arena",Q24=TRUE)</f>
        <v>0</v>
      </c>
      <c r="S24" s="52" t="str">
        <f>IF(AND(R24=TRUE,D19&gt;12,D19&lt;50)," arcillosa","")</f>
        <v/>
      </c>
      <c r="T24" s="52" t="str">
        <f>IF(S24=" arcillosa"," SC","")</f>
        <v/>
      </c>
      <c r="U24" s="86"/>
      <c r="V24" s="52"/>
      <c r="W24" s="85" t="s">
        <v>188</v>
      </c>
      <c r="X24" s="146">
        <f>IF(W20=TRUE,W19,"")</f>
        <v>4.2500872772773981</v>
      </c>
      <c r="Y24" s="86" t="s">
        <v>54</v>
      </c>
    </row>
    <row r="25" spans="1:25">
      <c r="M25" s="85"/>
      <c r="N25" s="52"/>
      <c r="O25" s="52"/>
      <c r="P25" s="52"/>
      <c r="Q25" s="52" t="b">
        <f>AND(D19&gt;12,OR(C23&lt;4,C23&lt;(0.73*(C21-20))))</f>
        <v>1</v>
      </c>
      <c r="R25" s="52" t="b">
        <f>AND(P21="Arena",Q25=TRUE)</f>
        <v>1</v>
      </c>
      <c r="S25" s="52" t="str">
        <f>IF(AND(R25=TRUE,D19&gt;12,D19&lt;50)," limosa","")</f>
        <v xml:space="preserve"> limosa</v>
      </c>
      <c r="T25" s="52" t="str">
        <f>IF(S25=" limosa"," SM","")</f>
        <v xml:space="preserve"> SM</v>
      </c>
      <c r="U25" s="86"/>
      <c r="V25" s="52"/>
      <c r="W25" s="85" t="s">
        <v>189</v>
      </c>
      <c r="X25" s="146">
        <f>IF(X20=TRUE,X19,"")</f>
        <v>0.42955569148806183</v>
      </c>
      <c r="Y25" s="86" t="s">
        <v>54</v>
      </c>
    </row>
    <row r="26" spans="1:25">
      <c r="M26" s="85"/>
      <c r="N26" s="52"/>
      <c r="O26" s="52"/>
      <c r="P26" s="52"/>
      <c r="Q26" s="52" t="b">
        <f>AND(D19&gt;12,C23&gt;(0.73*(C21-20)),C23&gt;=4,C23&lt;=7)</f>
        <v>0</v>
      </c>
      <c r="R26" s="52" t="b">
        <f>AND(P21="Arena",Q26=TRUE)</f>
        <v>0</v>
      </c>
      <c r="S26" s="52" t="str">
        <f>IF(AND(R26=TRUE,D19&gt;12,D19&lt;50)," arcilloso-limosa","")</f>
        <v/>
      </c>
      <c r="T26" s="52" t="str">
        <f>IF(S26=" arcilloso-limosa"," SC-SM","")</f>
        <v/>
      </c>
      <c r="U26" s="86"/>
      <c r="V26" s="52"/>
      <c r="W26" s="75" t="s">
        <v>190</v>
      </c>
      <c r="X26" s="193" t="str">
        <f>IF(Y20=TRUE,Y19,"")</f>
        <v/>
      </c>
      <c r="Y26" s="77" t="s">
        <v>54</v>
      </c>
    </row>
    <row r="27" spans="1:25">
      <c r="M27" s="85"/>
      <c r="N27" s="52"/>
      <c r="O27" s="52"/>
      <c r="P27" s="52"/>
      <c r="Q27" s="52" t="b">
        <f>AND(D19&gt;=5,D19&lt;=12,X27&gt;=4,X28&gt;=1,X28&lt;=3)</f>
        <v>0</v>
      </c>
      <c r="R27" s="52" t="b">
        <f>AND(P21="Arena",Q27=TRUE)</f>
        <v>0</v>
      </c>
      <c r="S27" s="52" t="str">
        <f>IF(R27=TRUE," bien graduada","")</f>
        <v/>
      </c>
      <c r="T27" s="52" t="str">
        <f>IF(S27=" bien graduada"," SW","")</f>
        <v/>
      </c>
      <c r="U27" s="86"/>
      <c r="V27" s="52"/>
      <c r="W27" s="85" t="s">
        <v>180</v>
      </c>
      <c r="X27" s="146" t="str">
        <f>IF(OR(X24="",X25="",X26=""),"",X24/X26)</f>
        <v/>
      </c>
      <c r="Y27" s="86"/>
    </row>
    <row r="28" spans="1:25">
      <c r="M28" s="85"/>
      <c r="N28" s="52"/>
      <c r="O28" s="52"/>
      <c r="P28" s="52"/>
      <c r="Q28" s="52" t="b">
        <f>AND(D19&gt;=5,D19&lt;=12,OR(X27&lt;4,X28&lt;1,X28&gt;3))</f>
        <v>0</v>
      </c>
      <c r="R28" s="52" t="b">
        <f>AND(P21="Arena",Q28=TRUE)</f>
        <v>0</v>
      </c>
      <c r="S28" s="52" t="str">
        <f>IF(R28=TRUE," mal graduada","")</f>
        <v/>
      </c>
      <c r="T28" s="52" t="str">
        <f>IF(S28=" mal graduada"," SP","")</f>
        <v/>
      </c>
      <c r="U28" s="86"/>
      <c r="V28" s="52"/>
      <c r="W28" s="75" t="s">
        <v>181</v>
      </c>
      <c r="X28" s="193" t="str">
        <f>IF(OR(X24="",X25="",X26=""),"",(X25*X25)/(X26*X24))</f>
        <v/>
      </c>
      <c r="Y28" s="77"/>
    </row>
    <row r="29" spans="1:25">
      <c r="M29" s="85"/>
      <c r="N29" s="52"/>
      <c r="O29" s="52"/>
      <c r="P29" s="52"/>
      <c r="Q29" s="52" t="b">
        <f>AND(D19&gt;=5,D19&lt;=12,OR(AND(C21&lt;=30,C23&gt;7),AND(C21&gt;30,C23&gt;(0.73*(C21-20)))))</f>
        <v>0</v>
      </c>
      <c r="R29" s="52" t="b">
        <f>AND(P21="Arena",Q29=TRUE)</f>
        <v>0</v>
      </c>
      <c r="S29" s="52" t="str">
        <f>IF(R29=TRUE," con arcilla","")</f>
        <v/>
      </c>
      <c r="T29" s="52" t="str">
        <f>IF(S29=" con arcilla"," SC","")</f>
        <v/>
      </c>
      <c r="U29" s="86"/>
      <c r="V29" s="52"/>
    </row>
    <row r="30" spans="1:25" ht="12.75" customHeight="1">
      <c r="M30" s="85"/>
      <c r="N30" s="52"/>
      <c r="O30" s="52"/>
      <c r="P30" s="52"/>
      <c r="Q30" s="52" t="b">
        <f>AND(D19&gt;=5,D19&lt;=12,OR(C23&lt;4,C23&lt;(0.73*(C21-20))))</f>
        <v>0</v>
      </c>
      <c r="R30" s="52" t="b">
        <f>AND(P21="Arena",Q30=TRUE)</f>
        <v>0</v>
      </c>
      <c r="S30" s="52" t="str">
        <f>IF(R30=TRUE," con limo","")</f>
        <v/>
      </c>
      <c r="T30" s="52" t="str">
        <f>IF(S30=" con limo"," SM","")</f>
        <v/>
      </c>
      <c r="U30" s="86"/>
      <c r="V30" s="52"/>
      <c r="W30" s="194" t="s">
        <v>166</v>
      </c>
      <c r="X30" s="195" t="s">
        <v>166</v>
      </c>
    </row>
    <row r="31" spans="1:25" ht="13.5" customHeight="1">
      <c r="M31" s="85"/>
      <c r="N31" s="52"/>
      <c r="O31" s="52"/>
      <c r="P31" s="52"/>
      <c r="Q31" s="52" t="b">
        <f>AND(D19&gt;=5,D19&lt;=12,C23&gt;(0.73*(C21-20)),C23&gt;=4,C23&lt;=7)</f>
        <v>0</v>
      </c>
      <c r="R31" s="52" t="b">
        <f>AND(P21="Arena",Q31=TRUE)</f>
        <v>0</v>
      </c>
      <c r="S31" s="52" t="str">
        <f>IF(R31=TRUE," con arcilla y limo","")</f>
        <v/>
      </c>
      <c r="T31" s="52" t="str">
        <f>IF(S31=" con arcilla y limo"," SC","")</f>
        <v/>
      </c>
      <c r="U31" s="86"/>
      <c r="V31" s="52"/>
      <c r="W31" s="196" t="s">
        <v>168</v>
      </c>
      <c r="X31" s="197" t="s">
        <v>169</v>
      </c>
    </row>
    <row r="32" spans="1:25" ht="13.5" customHeight="1">
      <c r="M32" s="85"/>
      <c r="N32" s="52"/>
      <c r="O32" s="52"/>
      <c r="P32" s="52"/>
      <c r="Q32" s="52"/>
      <c r="R32" s="52" t="b">
        <f>AND(P21="Arena",(X32+X33+X34+X35+X36+X37+X38+X39+X40+X41+X42)&gt;15)</f>
        <v>1</v>
      </c>
      <c r="S32" s="52" t="str">
        <f>IF(R32=TRUE," con grava","")</f>
        <v xml:space="preserve"> con grava</v>
      </c>
      <c r="T32" s="52"/>
      <c r="U32" s="86"/>
      <c r="V32" s="52"/>
      <c r="W32" s="198">
        <f t="shared" ref="W32:W47" si="4">100-D4</f>
        <v>0</v>
      </c>
      <c r="X32" s="199">
        <f>100-D4</f>
        <v>0</v>
      </c>
    </row>
    <row r="33" spans="13:24" ht="12.75" customHeight="1">
      <c r="M33" s="85"/>
      <c r="N33" s="52"/>
      <c r="O33" s="52"/>
      <c r="P33" s="52"/>
      <c r="Q33" s="52"/>
      <c r="R33" s="52"/>
      <c r="S33" s="52"/>
      <c r="T33" s="52"/>
      <c r="U33" s="86"/>
      <c r="V33" s="52"/>
      <c r="W33" s="198">
        <f t="shared" si="4"/>
        <v>3.6627434586666539</v>
      </c>
      <c r="X33" s="199">
        <f t="shared" ref="X33:X47" si="5">D4-D5</f>
        <v>3.6627434586666539</v>
      </c>
    </row>
    <row r="34" spans="13:24" ht="12.75" customHeight="1">
      <c r="M34" s="85"/>
      <c r="N34" s="52"/>
      <c r="O34" s="52"/>
      <c r="P34" s="143" t="str">
        <f>IF(D19&gt;=50,"Suelo de partículas finas.","")</f>
        <v/>
      </c>
      <c r="Q34" s="52"/>
      <c r="R34" s="52"/>
      <c r="S34" s="52"/>
      <c r="T34" s="52"/>
      <c r="U34" s="86"/>
      <c r="V34" s="52"/>
      <c r="W34" s="198">
        <f t="shared" si="4"/>
        <v>6.8954208457159325</v>
      </c>
      <c r="X34" s="199">
        <f t="shared" si="5"/>
        <v>3.2326773870492787</v>
      </c>
    </row>
    <row r="35" spans="13:24" ht="13.5" customHeight="1">
      <c r="M35" s="85" t="str">
        <f>IF(X23&gt;=50,"SI","No")</f>
        <v>No</v>
      </c>
      <c r="N35" s="52"/>
      <c r="O35" s="52"/>
      <c r="P35" s="52"/>
      <c r="Q35" s="52" t="b">
        <f>AND(C23&gt;(0.73*(C21-20)),C23&gt;7,C21&lt;30)</f>
        <v>0</v>
      </c>
      <c r="R35" s="52" t="b">
        <f>AND(M35="SI",Q35=TRUE)</f>
        <v>0</v>
      </c>
      <c r="S35" s="52" t="str">
        <f>IF(R35=TRUE,"Arcilla baja plasticidad","")</f>
        <v/>
      </c>
      <c r="T35" s="52" t="str">
        <f>IF(S35="Arcilla baja plasticidad"," CL","")</f>
        <v/>
      </c>
      <c r="U35" s="86" t="str">
        <f>IF(AND(D19&gt;=50,W47&lt;30,W47&gt;15,(X32+X33+X34+X35+X36+X37+X38+X39+X40+X41+X42)&lt;=(X43+X44+X45+X46+X47))," con arena","")</f>
        <v/>
      </c>
      <c r="V35" s="52"/>
      <c r="W35" s="198">
        <f t="shared" si="4"/>
        <v>9.7200001726646406</v>
      </c>
      <c r="X35" s="199">
        <f t="shared" si="5"/>
        <v>2.8245793269487081</v>
      </c>
    </row>
    <row r="36" spans="13:24" ht="13.5" customHeight="1">
      <c r="M36" s="85"/>
      <c r="N36" s="52"/>
      <c r="O36" s="52"/>
      <c r="P36" s="52"/>
      <c r="Q36" s="52" t="b">
        <f>AND(C23&gt;(0.73*(C21-20)),C23&gt;4,C21&gt;=50)</f>
        <v>0</v>
      </c>
      <c r="R36" s="52" t="b">
        <f>AND(M35="SI",Q36=TRUE)</f>
        <v>0</v>
      </c>
      <c r="S36" s="52" t="str">
        <f>IF(R36=TRUE,"Arcilla alta plasticidad","")</f>
        <v/>
      </c>
      <c r="T36" s="52" t="str">
        <f>IF(S36="Arcilla alta plasticidad"," CH","")</f>
        <v/>
      </c>
      <c r="U36" s="86" t="str">
        <f>IF(AND(D19&gt;=50,W47&lt;30,W47&gt;15,(X32+X33+X34+X35+X36+X37+X38+X39+X40+X41+X42)&gt;(X43+X44+X45+X46+X47))," con grava","")</f>
        <v/>
      </c>
      <c r="V36" s="52"/>
      <c r="W36" s="198">
        <f t="shared" si="4"/>
        <v>13.599044052419785</v>
      </c>
      <c r="X36" s="199">
        <f t="shared" si="5"/>
        <v>3.8790438797551445</v>
      </c>
    </row>
    <row r="37" spans="13:24">
      <c r="M37" s="85"/>
      <c r="N37" s="52"/>
      <c r="O37" s="52"/>
      <c r="P37" s="52"/>
      <c r="Q37" s="52" t="b">
        <f>AND(C23&gt;=(0.73*(C21-20)),C23&gt;=4,C23&lt;=7)</f>
        <v>0</v>
      </c>
      <c r="R37" s="52" t="b">
        <f>AND(M35="SI",Q37=TRUE)</f>
        <v>0</v>
      </c>
      <c r="S37" s="52" t="str">
        <f>IF(R37=TRUE,"Arcilla limosa","")</f>
        <v/>
      </c>
      <c r="T37" s="52" t="str">
        <f>IF(S37="Arcilla limosa"," CL-ML","")</f>
        <v/>
      </c>
      <c r="U37" s="86" t="str">
        <f>IF(AND(D19&gt;=50,W47&gt;=30,(X32+X33+X34+X35+X36+X37+X38+X39+X40+X41+X42)&lt;=(X43+X44+X45+X46+X47),OR(S35="Arcilla baja plasticidad",S36="Arcilla alta plasticidad",S37="Arcilla limosa",S40="Arcilla media plasticidad"))," arenosa","")</f>
        <v/>
      </c>
      <c r="V37" s="52"/>
      <c r="W37" s="198">
        <f t="shared" si="4"/>
        <v>18.551985725938579</v>
      </c>
      <c r="X37" s="199">
        <f t="shared" si="5"/>
        <v>4.9529416735187937</v>
      </c>
    </row>
    <row r="38" spans="13:24">
      <c r="M38" s="85"/>
      <c r="N38" s="52"/>
      <c r="O38" s="52"/>
      <c r="P38" s="52"/>
      <c r="Q38" s="52" t="b">
        <f>AND(OR(C23&lt;(0.73*(C21-20)),C23&lt;4),C21&lt;30)</f>
        <v>1</v>
      </c>
      <c r="R38" s="52" t="b">
        <f>AND(M35="SI",Q38=TRUE)</f>
        <v>0</v>
      </c>
      <c r="S38" s="52" t="str">
        <f>IF(R38=TRUE,"Limo baja plasticidad","")</f>
        <v/>
      </c>
      <c r="T38" s="52" t="str">
        <f>IF(S38="Limo baja plasticidad"," ML","")</f>
        <v/>
      </c>
      <c r="U38" s="86" t="str">
        <f>IF(AND(D19&gt;=50,W47&gt;=30,(X32+X33+X34+X35+X36+X37+X38+X39+X40+X41+X42)&gt;(X43+X44+X45+X46+X47),OR(S35="Arcilla baja plasticidad",S36="Arcilla alta plasticidad",S37="Arcilla limosa",S40="Arcilla media plasticidad"))," gravosa","")</f>
        <v/>
      </c>
      <c r="V38" s="52"/>
      <c r="W38" s="198">
        <f t="shared" si="4"/>
        <v>21.67397813188397</v>
      </c>
      <c r="X38" s="199">
        <f t="shared" si="5"/>
        <v>3.1219924059453916</v>
      </c>
    </row>
    <row r="39" spans="13:24" ht="12.75" customHeight="1">
      <c r="M39" s="85"/>
      <c r="N39" s="52"/>
      <c r="O39" s="52"/>
      <c r="P39" s="52"/>
      <c r="Q39" s="52" t="b">
        <f>AND(OR(C23&lt;(0.73*(C21-20)),C23&lt;4),C21&gt;=50)</f>
        <v>0</v>
      </c>
      <c r="R39" s="52" t="b">
        <f>AND(M35="SI",Q39=TRUE)</f>
        <v>0</v>
      </c>
      <c r="S39" s="52" t="str">
        <f>IF(R39=TRUE,"Limo alta plasticidad","")</f>
        <v/>
      </c>
      <c r="T39" s="52" t="str">
        <f>IF(S39="Limo alta plasticidad"," MH","")</f>
        <v/>
      </c>
      <c r="U39" s="86" t="str">
        <f>IF(AND(D19&gt;=50,W47&gt;=30,(X32+X33+X34+X35+X36+X37+X38+X39+X40+X41+X42)&lt;=(X43+X44+X45+X46+X47),OR(S38="Limo baja plasticidad",S39="Limo alta plasticidad",S41="Limo baja plasticidad"))," arenoso","")</f>
        <v/>
      </c>
      <c r="V39" s="52"/>
      <c r="W39" s="198">
        <f t="shared" si="4"/>
        <v>27.169360705163768</v>
      </c>
      <c r="X39" s="199">
        <f t="shared" si="5"/>
        <v>5.4953825732797981</v>
      </c>
    </row>
    <row r="40" spans="13:24">
      <c r="M40" s="85"/>
      <c r="N40" s="52"/>
      <c r="O40" s="52"/>
      <c r="P40" s="52"/>
      <c r="Q40" s="52" t="b">
        <f>AND(C23&gt;(0.73*(C21-20)),C23&gt;7,AND(C21&gt;=30,C21&lt;50))</f>
        <v>0</v>
      </c>
      <c r="R40" s="52" t="b">
        <f>AND(M35="SI",Q40=TRUE)</f>
        <v>0</v>
      </c>
      <c r="S40" s="52" t="str">
        <f>IF(R40=TRUE,"Arcilla media plasticidad","")</f>
        <v/>
      </c>
      <c r="T40" s="52" t="str">
        <f>IF(S40="Arcilla media plasticidad"," CL","")</f>
        <v/>
      </c>
      <c r="U40" s="86" t="str">
        <f>IF(AND(D19&gt;=50,W47&gt;=30,(X32+X33+X34+X35+X36+X37+X38+X39+X40+X41+X42)&gt;(X43+X44+X45+X46+X47),OR(S38="Limo baja plasticidad",S39="Limo alta plasticidad",S41="Limo baja plasticidad"))," gravoso","")</f>
        <v/>
      </c>
      <c r="V40" s="52"/>
      <c r="W40" s="198">
        <f t="shared" si="4"/>
        <v>29.94408954443972</v>
      </c>
      <c r="X40" s="199">
        <f t="shared" si="5"/>
        <v>2.7747288392759515</v>
      </c>
    </row>
    <row r="41" spans="13:24" ht="13.5" customHeight="1">
      <c r="M41" s="85"/>
      <c r="N41" s="52"/>
      <c r="O41" s="52"/>
      <c r="P41" s="52"/>
      <c r="Q41" s="52" t="b">
        <f>AND(OR(C23&lt;(0.73*(C21-20)),C23&lt;4),AND(C21&gt;30,C21&lt;50))</f>
        <v>0</v>
      </c>
      <c r="R41" s="52" t="b">
        <f>AND(M35="SI",Q41=TRUE)</f>
        <v>0</v>
      </c>
      <c r="S41" s="52" t="str">
        <f>IF(R41=TRUE,"Limo baja plasticidad","")</f>
        <v/>
      </c>
      <c r="T41" s="52" t="str">
        <f>IF(S41="Limo baja plasticidad"," ML","")</f>
        <v/>
      </c>
      <c r="U41" s="86"/>
      <c r="V41" s="52"/>
      <c r="W41" s="198">
        <f t="shared" si="4"/>
        <v>34.555682115928221</v>
      </c>
      <c r="X41" s="199">
        <f t="shared" si="5"/>
        <v>4.6115925714885009</v>
      </c>
    </row>
    <row r="42" spans="13:24" ht="12.75" customHeight="1">
      <c r="M42" s="99" t="str">
        <f>CONCATENATE(P5,P6,P7,P8,P34)</f>
        <v>Suelo de partículas gruesas. Suelo de partículas gruesas con finos (suelo sucio).</v>
      </c>
      <c r="N42" s="145"/>
      <c r="O42" s="145"/>
      <c r="P42" s="101"/>
      <c r="Q42" s="145"/>
      <c r="R42" s="64"/>
      <c r="S42" s="63"/>
      <c r="T42" s="63"/>
      <c r="U42" s="64"/>
      <c r="V42" s="52"/>
      <c r="W42" s="198">
        <f t="shared" si="4"/>
        <v>37.52474336477588</v>
      </c>
      <c r="X42" s="199">
        <f t="shared" si="5"/>
        <v>2.9690612488476589</v>
      </c>
    </row>
    <row r="43" spans="13:24">
      <c r="M43" s="75" t="str">
        <f>CONCATENATE(P9,P21)</f>
        <v>Arena</v>
      </c>
      <c r="N43" s="76" t="str">
        <f>CONCATENATE(S10,S11,S12,S13,S14,S15,S16,S17,S18,S19,S20,S22,S23,S24,S25,S26,S27,S28,S29,S30,S31,S32,S35,S36,S37,S38,S39,S40,S41)</f>
        <v xml:space="preserve"> limosa con grava</v>
      </c>
      <c r="O43" s="76" t="str">
        <f>CONCATENATE(U35,U36,U37,U38,U39,U40,U9)</f>
        <v xml:space="preserve"> con bloques</v>
      </c>
      <c r="P43" s="811" t="str">
        <f>CONCATENATE(T10,T11,T12,T13,T14,T15,T16,T17,T18,T19,T22,T23,T24,T25,T26,T27,T28,T29,T30,T31,T35,T36,T37,T38,T39,T40,T41)</f>
        <v xml:space="preserve"> SM</v>
      </c>
      <c r="Q43" s="76" t="str">
        <f>CONCATENATE(M43,N43,O43,P43)</f>
        <v>Arena limosa con grava con bloques SM</v>
      </c>
      <c r="R43" s="743" t="str">
        <f>CONCATENATE(M43,N43)</f>
        <v>Arena limosa con grava</v>
      </c>
      <c r="S43" s="145"/>
      <c r="T43" s="145"/>
      <c r="U43" s="101"/>
      <c r="V43" s="52"/>
      <c r="W43" s="198">
        <f t="shared" si="4"/>
        <v>47.426922219286645</v>
      </c>
      <c r="X43" s="199">
        <f t="shared" si="5"/>
        <v>9.9021788545107654</v>
      </c>
    </row>
    <row r="44" spans="13:24" ht="13.5" customHeight="1">
      <c r="W44" s="198">
        <f t="shared" si="4"/>
        <v>56.273099482669515</v>
      </c>
      <c r="X44" s="199">
        <f t="shared" si="5"/>
        <v>8.8461772633828701</v>
      </c>
    </row>
    <row r="45" spans="13:24" ht="12.75" customHeight="1">
      <c r="W45" s="198">
        <f t="shared" si="4"/>
        <v>70.494497959908315</v>
      </c>
      <c r="X45" s="199">
        <f t="shared" si="5"/>
        <v>14.2213984772388</v>
      </c>
    </row>
    <row r="46" spans="13:24" ht="12.75" customHeight="1">
      <c r="W46" s="198">
        <f t="shared" si="4"/>
        <v>78.933854938184538</v>
      </c>
      <c r="X46" s="199">
        <f t="shared" si="5"/>
        <v>8.4393569782762228</v>
      </c>
    </row>
    <row r="47" spans="13:24">
      <c r="W47" s="200">
        <f t="shared" si="4"/>
        <v>82.673139260866918</v>
      </c>
      <c r="X47" s="201">
        <f t="shared" si="5"/>
        <v>3.73928432268238</v>
      </c>
    </row>
    <row r="48" spans="13:24" ht="13.5" customHeight="1"/>
    <row r="50" spans="2:3" ht="13.5" customHeight="1"/>
    <row r="51" spans="2:3">
      <c r="B51" s="157"/>
      <c r="C51" s="157"/>
    </row>
    <row r="53" spans="2:3" ht="12.75" customHeight="1"/>
  </sheetData>
  <mergeCells count="4">
    <mergeCell ref="F17:K17"/>
    <mergeCell ref="F18:K18"/>
    <mergeCell ref="F19:K19"/>
    <mergeCell ref="F21:K2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dimension ref="A1:BW343"/>
  <sheetViews>
    <sheetView topLeftCell="BF1" zoomScale="70" zoomScaleNormal="70" workbookViewId="0">
      <selection activeCell="BW7" sqref="BW7:BW8"/>
    </sheetView>
  </sheetViews>
  <sheetFormatPr baseColWidth="10" defaultRowHeight="13.2"/>
  <cols>
    <col min="1" max="1" width="35.5546875" style="43" customWidth="1"/>
    <col min="2" max="2" width="19.33203125" style="43" customWidth="1"/>
    <col min="3" max="3" width="12.44140625" style="43" customWidth="1"/>
    <col min="4" max="4" width="25" style="43" customWidth="1"/>
    <col min="5" max="5" width="13.88671875" style="43" customWidth="1"/>
    <col min="6" max="6" width="62.33203125" style="43" customWidth="1"/>
    <col min="7" max="7" width="26.33203125" style="43" customWidth="1"/>
    <col min="8" max="8" width="27.6640625" style="43" customWidth="1"/>
    <col min="9" max="9" width="27.109375" style="43" customWidth="1"/>
    <col min="10" max="10" width="20" style="202" customWidth="1"/>
    <col min="11" max="11" width="14.33203125" style="202" customWidth="1"/>
    <col min="12" max="70" width="10.6640625" style="43" customWidth="1"/>
    <col min="71" max="71" width="38.88671875" style="43" customWidth="1"/>
    <col min="72" max="72" width="11.44140625" style="202" customWidth="1"/>
    <col min="73" max="75" width="11.44140625" style="43" customWidth="1"/>
    <col min="76" max="256" width="11.44140625" style="43"/>
    <col min="257" max="257" width="35.5546875" style="43" customWidth="1"/>
    <col min="258" max="258" width="19.33203125" style="43" customWidth="1"/>
    <col min="259" max="259" width="12.44140625" style="43" customWidth="1"/>
    <col min="260" max="260" width="25" style="43" customWidth="1"/>
    <col min="261" max="261" width="13.88671875" style="43" customWidth="1"/>
    <col min="262" max="262" width="62.33203125" style="43" customWidth="1"/>
    <col min="263" max="263" width="26.33203125" style="43" customWidth="1"/>
    <col min="264" max="264" width="27.6640625" style="43" customWidth="1"/>
    <col min="265" max="265" width="27.109375" style="43" customWidth="1"/>
    <col min="266" max="266" width="20" style="43" customWidth="1"/>
    <col min="267" max="267" width="14.33203125" style="43" customWidth="1"/>
    <col min="268" max="326" width="10.6640625" style="43" customWidth="1"/>
    <col min="327" max="327" width="38.88671875" style="43" customWidth="1"/>
    <col min="328" max="331" width="0" style="43" hidden="1" customWidth="1"/>
    <col min="332" max="512" width="11.44140625" style="43"/>
    <col min="513" max="513" width="35.5546875" style="43" customWidth="1"/>
    <col min="514" max="514" width="19.33203125" style="43" customWidth="1"/>
    <col min="515" max="515" width="12.44140625" style="43" customWidth="1"/>
    <col min="516" max="516" width="25" style="43" customWidth="1"/>
    <col min="517" max="517" width="13.88671875" style="43" customWidth="1"/>
    <col min="518" max="518" width="62.33203125" style="43" customWidth="1"/>
    <col min="519" max="519" width="26.33203125" style="43" customWidth="1"/>
    <col min="520" max="520" width="27.6640625" style="43" customWidth="1"/>
    <col min="521" max="521" width="27.109375" style="43" customWidth="1"/>
    <col min="522" max="522" width="20" style="43" customWidth="1"/>
    <col min="523" max="523" width="14.33203125" style="43" customWidth="1"/>
    <col min="524" max="582" width="10.6640625" style="43" customWidth="1"/>
    <col min="583" max="583" width="38.88671875" style="43" customWidth="1"/>
    <col min="584" max="587" width="0" style="43" hidden="1" customWidth="1"/>
    <col min="588" max="768" width="11.44140625" style="43"/>
    <col min="769" max="769" width="35.5546875" style="43" customWidth="1"/>
    <col min="770" max="770" width="19.33203125" style="43" customWidth="1"/>
    <col min="771" max="771" width="12.44140625" style="43" customWidth="1"/>
    <col min="772" max="772" width="25" style="43" customWidth="1"/>
    <col min="773" max="773" width="13.88671875" style="43" customWidth="1"/>
    <col min="774" max="774" width="62.33203125" style="43" customWidth="1"/>
    <col min="775" max="775" width="26.33203125" style="43" customWidth="1"/>
    <col min="776" max="776" width="27.6640625" style="43" customWidth="1"/>
    <col min="777" max="777" width="27.109375" style="43" customWidth="1"/>
    <col min="778" max="778" width="20" style="43" customWidth="1"/>
    <col min="779" max="779" width="14.33203125" style="43" customWidth="1"/>
    <col min="780" max="838" width="10.6640625" style="43" customWidth="1"/>
    <col min="839" max="839" width="38.88671875" style="43" customWidth="1"/>
    <col min="840" max="843" width="0" style="43" hidden="1" customWidth="1"/>
    <col min="844" max="1024" width="11.44140625" style="43"/>
    <col min="1025" max="1025" width="35.5546875" style="43" customWidth="1"/>
    <col min="1026" max="1026" width="19.33203125" style="43" customWidth="1"/>
    <col min="1027" max="1027" width="12.44140625" style="43" customWidth="1"/>
    <col min="1028" max="1028" width="25" style="43" customWidth="1"/>
    <col min="1029" max="1029" width="13.88671875" style="43" customWidth="1"/>
    <col min="1030" max="1030" width="62.33203125" style="43" customWidth="1"/>
    <col min="1031" max="1031" width="26.33203125" style="43" customWidth="1"/>
    <col min="1032" max="1032" width="27.6640625" style="43" customWidth="1"/>
    <col min="1033" max="1033" width="27.109375" style="43" customWidth="1"/>
    <col min="1034" max="1034" width="20" style="43" customWidth="1"/>
    <col min="1035" max="1035" width="14.33203125" style="43" customWidth="1"/>
    <col min="1036" max="1094" width="10.6640625" style="43" customWidth="1"/>
    <col min="1095" max="1095" width="38.88671875" style="43" customWidth="1"/>
    <col min="1096" max="1099" width="0" style="43" hidden="1" customWidth="1"/>
    <col min="1100" max="1280" width="11.44140625" style="43"/>
    <col min="1281" max="1281" width="35.5546875" style="43" customWidth="1"/>
    <col min="1282" max="1282" width="19.33203125" style="43" customWidth="1"/>
    <col min="1283" max="1283" width="12.44140625" style="43" customWidth="1"/>
    <col min="1284" max="1284" width="25" style="43" customWidth="1"/>
    <col min="1285" max="1285" width="13.88671875" style="43" customWidth="1"/>
    <col min="1286" max="1286" width="62.33203125" style="43" customWidth="1"/>
    <col min="1287" max="1287" width="26.33203125" style="43" customWidth="1"/>
    <col min="1288" max="1288" width="27.6640625" style="43" customWidth="1"/>
    <col min="1289" max="1289" width="27.109375" style="43" customWidth="1"/>
    <col min="1290" max="1290" width="20" style="43" customWidth="1"/>
    <col min="1291" max="1291" width="14.33203125" style="43" customWidth="1"/>
    <col min="1292" max="1350" width="10.6640625" style="43" customWidth="1"/>
    <col min="1351" max="1351" width="38.88671875" style="43" customWidth="1"/>
    <col min="1352" max="1355" width="0" style="43" hidden="1" customWidth="1"/>
    <col min="1356" max="1536" width="11.44140625" style="43"/>
    <col min="1537" max="1537" width="35.5546875" style="43" customWidth="1"/>
    <col min="1538" max="1538" width="19.33203125" style="43" customWidth="1"/>
    <col min="1539" max="1539" width="12.44140625" style="43" customWidth="1"/>
    <col min="1540" max="1540" width="25" style="43" customWidth="1"/>
    <col min="1541" max="1541" width="13.88671875" style="43" customWidth="1"/>
    <col min="1542" max="1542" width="62.33203125" style="43" customWidth="1"/>
    <col min="1543" max="1543" width="26.33203125" style="43" customWidth="1"/>
    <col min="1544" max="1544" width="27.6640625" style="43" customWidth="1"/>
    <col min="1545" max="1545" width="27.109375" style="43" customWidth="1"/>
    <col min="1546" max="1546" width="20" style="43" customWidth="1"/>
    <col min="1547" max="1547" width="14.33203125" style="43" customWidth="1"/>
    <col min="1548" max="1606" width="10.6640625" style="43" customWidth="1"/>
    <col min="1607" max="1607" width="38.88671875" style="43" customWidth="1"/>
    <col min="1608" max="1611" width="0" style="43" hidden="1" customWidth="1"/>
    <col min="1612" max="1792" width="11.44140625" style="43"/>
    <col min="1793" max="1793" width="35.5546875" style="43" customWidth="1"/>
    <col min="1794" max="1794" width="19.33203125" style="43" customWidth="1"/>
    <col min="1795" max="1795" width="12.44140625" style="43" customWidth="1"/>
    <col min="1796" max="1796" width="25" style="43" customWidth="1"/>
    <col min="1797" max="1797" width="13.88671875" style="43" customWidth="1"/>
    <col min="1798" max="1798" width="62.33203125" style="43" customWidth="1"/>
    <col min="1799" max="1799" width="26.33203125" style="43" customWidth="1"/>
    <col min="1800" max="1800" width="27.6640625" style="43" customWidth="1"/>
    <col min="1801" max="1801" width="27.109375" style="43" customWidth="1"/>
    <col min="1802" max="1802" width="20" style="43" customWidth="1"/>
    <col min="1803" max="1803" width="14.33203125" style="43" customWidth="1"/>
    <col min="1804" max="1862" width="10.6640625" style="43" customWidth="1"/>
    <col min="1863" max="1863" width="38.88671875" style="43" customWidth="1"/>
    <col min="1864" max="1867" width="0" style="43" hidden="1" customWidth="1"/>
    <col min="1868" max="2048" width="11.44140625" style="43"/>
    <col min="2049" max="2049" width="35.5546875" style="43" customWidth="1"/>
    <col min="2050" max="2050" width="19.33203125" style="43" customWidth="1"/>
    <col min="2051" max="2051" width="12.44140625" style="43" customWidth="1"/>
    <col min="2052" max="2052" width="25" style="43" customWidth="1"/>
    <col min="2053" max="2053" width="13.88671875" style="43" customWidth="1"/>
    <col min="2054" max="2054" width="62.33203125" style="43" customWidth="1"/>
    <col min="2055" max="2055" width="26.33203125" style="43" customWidth="1"/>
    <col min="2056" max="2056" width="27.6640625" style="43" customWidth="1"/>
    <col min="2057" max="2057" width="27.109375" style="43" customWidth="1"/>
    <col min="2058" max="2058" width="20" style="43" customWidth="1"/>
    <col min="2059" max="2059" width="14.33203125" style="43" customWidth="1"/>
    <col min="2060" max="2118" width="10.6640625" style="43" customWidth="1"/>
    <col min="2119" max="2119" width="38.88671875" style="43" customWidth="1"/>
    <col min="2120" max="2123" width="0" style="43" hidden="1" customWidth="1"/>
    <col min="2124" max="2304" width="11.44140625" style="43"/>
    <col min="2305" max="2305" width="35.5546875" style="43" customWidth="1"/>
    <col min="2306" max="2306" width="19.33203125" style="43" customWidth="1"/>
    <col min="2307" max="2307" width="12.44140625" style="43" customWidth="1"/>
    <col min="2308" max="2308" width="25" style="43" customWidth="1"/>
    <col min="2309" max="2309" width="13.88671875" style="43" customWidth="1"/>
    <col min="2310" max="2310" width="62.33203125" style="43" customWidth="1"/>
    <col min="2311" max="2311" width="26.33203125" style="43" customWidth="1"/>
    <col min="2312" max="2312" width="27.6640625" style="43" customWidth="1"/>
    <col min="2313" max="2313" width="27.109375" style="43" customWidth="1"/>
    <col min="2314" max="2314" width="20" style="43" customWidth="1"/>
    <col min="2315" max="2315" width="14.33203125" style="43" customWidth="1"/>
    <col min="2316" max="2374" width="10.6640625" style="43" customWidth="1"/>
    <col min="2375" max="2375" width="38.88671875" style="43" customWidth="1"/>
    <col min="2376" max="2379" width="0" style="43" hidden="1" customWidth="1"/>
    <col min="2380" max="2560" width="11.44140625" style="43"/>
    <col min="2561" max="2561" width="35.5546875" style="43" customWidth="1"/>
    <col min="2562" max="2562" width="19.33203125" style="43" customWidth="1"/>
    <col min="2563" max="2563" width="12.44140625" style="43" customWidth="1"/>
    <col min="2564" max="2564" width="25" style="43" customWidth="1"/>
    <col min="2565" max="2565" width="13.88671875" style="43" customWidth="1"/>
    <col min="2566" max="2566" width="62.33203125" style="43" customWidth="1"/>
    <col min="2567" max="2567" width="26.33203125" style="43" customWidth="1"/>
    <col min="2568" max="2568" width="27.6640625" style="43" customWidth="1"/>
    <col min="2569" max="2569" width="27.109375" style="43" customWidth="1"/>
    <col min="2570" max="2570" width="20" style="43" customWidth="1"/>
    <col min="2571" max="2571" width="14.33203125" style="43" customWidth="1"/>
    <col min="2572" max="2630" width="10.6640625" style="43" customWidth="1"/>
    <col min="2631" max="2631" width="38.88671875" style="43" customWidth="1"/>
    <col min="2632" max="2635" width="0" style="43" hidden="1" customWidth="1"/>
    <col min="2636" max="2816" width="11.44140625" style="43"/>
    <col min="2817" max="2817" width="35.5546875" style="43" customWidth="1"/>
    <col min="2818" max="2818" width="19.33203125" style="43" customWidth="1"/>
    <col min="2819" max="2819" width="12.44140625" style="43" customWidth="1"/>
    <col min="2820" max="2820" width="25" style="43" customWidth="1"/>
    <col min="2821" max="2821" width="13.88671875" style="43" customWidth="1"/>
    <col min="2822" max="2822" width="62.33203125" style="43" customWidth="1"/>
    <col min="2823" max="2823" width="26.33203125" style="43" customWidth="1"/>
    <col min="2824" max="2824" width="27.6640625" style="43" customWidth="1"/>
    <col min="2825" max="2825" width="27.109375" style="43" customWidth="1"/>
    <col min="2826" max="2826" width="20" style="43" customWidth="1"/>
    <col min="2827" max="2827" width="14.33203125" style="43" customWidth="1"/>
    <col min="2828" max="2886" width="10.6640625" style="43" customWidth="1"/>
    <col min="2887" max="2887" width="38.88671875" style="43" customWidth="1"/>
    <col min="2888" max="2891" width="0" style="43" hidden="1" customWidth="1"/>
    <col min="2892" max="3072" width="11.44140625" style="43"/>
    <col min="3073" max="3073" width="35.5546875" style="43" customWidth="1"/>
    <col min="3074" max="3074" width="19.33203125" style="43" customWidth="1"/>
    <col min="3075" max="3075" width="12.44140625" style="43" customWidth="1"/>
    <col min="3076" max="3076" width="25" style="43" customWidth="1"/>
    <col min="3077" max="3077" width="13.88671875" style="43" customWidth="1"/>
    <col min="3078" max="3078" width="62.33203125" style="43" customWidth="1"/>
    <col min="3079" max="3079" width="26.33203125" style="43" customWidth="1"/>
    <col min="3080" max="3080" width="27.6640625" style="43" customWidth="1"/>
    <col min="3081" max="3081" width="27.109375" style="43" customWidth="1"/>
    <col min="3082" max="3082" width="20" style="43" customWidth="1"/>
    <col min="3083" max="3083" width="14.33203125" style="43" customWidth="1"/>
    <col min="3084" max="3142" width="10.6640625" style="43" customWidth="1"/>
    <col min="3143" max="3143" width="38.88671875" style="43" customWidth="1"/>
    <col min="3144" max="3147" width="0" style="43" hidden="1" customWidth="1"/>
    <col min="3148" max="3328" width="11.44140625" style="43"/>
    <col min="3329" max="3329" width="35.5546875" style="43" customWidth="1"/>
    <col min="3330" max="3330" width="19.33203125" style="43" customWidth="1"/>
    <col min="3331" max="3331" width="12.44140625" style="43" customWidth="1"/>
    <col min="3332" max="3332" width="25" style="43" customWidth="1"/>
    <col min="3333" max="3333" width="13.88671875" style="43" customWidth="1"/>
    <col min="3334" max="3334" width="62.33203125" style="43" customWidth="1"/>
    <col min="3335" max="3335" width="26.33203125" style="43" customWidth="1"/>
    <col min="3336" max="3336" width="27.6640625" style="43" customWidth="1"/>
    <col min="3337" max="3337" width="27.109375" style="43" customWidth="1"/>
    <col min="3338" max="3338" width="20" style="43" customWidth="1"/>
    <col min="3339" max="3339" width="14.33203125" style="43" customWidth="1"/>
    <col min="3340" max="3398" width="10.6640625" style="43" customWidth="1"/>
    <col min="3399" max="3399" width="38.88671875" style="43" customWidth="1"/>
    <col min="3400" max="3403" width="0" style="43" hidden="1" customWidth="1"/>
    <col min="3404" max="3584" width="11.44140625" style="43"/>
    <col min="3585" max="3585" width="35.5546875" style="43" customWidth="1"/>
    <col min="3586" max="3586" width="19.33203125" style="43" customWidth="1"/>
    <col min="3587" max="3587" width="12.44140625" style="43" customWidth="1"/>
    <col min="3588" max="3588" width="25" style="43" customWidth="1"/>
    <col min="3589" max="3589" width="13.88671875" style="43" customWidth="1"/>
    <col min="3590" max="3590" width="62.33203125" style="43" customWidth="1"/>
    <col min="3591" max="3591" width="26.33203125" style="43" customWidth="1"/>
    <col min="3592" max="3592" width="27.6640625" style="43" customWidth="1"/>
    <col min="3593" max="3593" width="27.109375" style="43" customWidth="1"/>
    <col min="3594" max="3594" width="20" style="43" customWidth="1"/>
    <col min="3595" max="3595" width="14.33203125" style="43" customWidth="1"/>
    <col min="3596" max="3654" width="10.6640625" style="43" customWidth="1"/>
    <col min="3655" max="3655" width="38.88671875" style="43" customWidth="1"/>
    <col min="3656" max="3659" width="0" style="43" hidden="1" customWidth="1"/>
    <col min="3660" max="3840" width="11.44140625" style="43"/>
    <col min="3841" max="3841" width="35.5546875" style="43" customWidth="1"/>
    <col min="3842" max="3842" width="19.33203125" style="43" customWidth="1"/>
    <col min="3843" max="3843" width="12.44140625" style="43" customWidth="1"/>
    <col min="3844" max="3844" width="25" style="43" customWidth="1"/>
    <col min="3845" max="3845" width="13.88671875" style="43" customWidth="1"/>
    <col min="3846" max="3846" width="62.33203125" style="43" customWidth="1"/>
    <col min="3847" max="3847" width="26.33203125" style="43" customWidth="1"/>
    <col min="3848" max="3848" width="27.6640625" style="43" customWidth="1"/>
    <col min="3849" max="3849" width="27.109375" style="43" customWidth="1"/>
    <col min="3850" max="3850" width="20" style="43" customWidth="1"/>
    <col min="3851" max="3851" width="14.33203125" style="43" customWidth="1"/>
    <col min="3852" max="3910" width="10.6640625" style="43" customWidth="1"/>
    <col min="3911" max="3911" width="38.88671875" style="43" customWidth="1"/>
    <col min="3912" max="3915" width="0" style="43" hidden="1" customWidth="1"/>
    <col min="3916" max="4096" width="11.44140625" style="43"/>
    <col min="4097" max="4097" width="35.5546875" style="43" customWidth="1"/>
    <col min="4098" max="4098" width="19.33203125" style="43" customWidth="1"/>
    <col min="4099" max="4099" width="12.44140625" style="43" customWidth="1"/>
    <col min="4100" max="4100" width="25" style="43" customWidth="1"/>
    <col min="4101" max="4101" width="13.88671875" style="43" customWidth="1"/>
    <col min="4102" max="4102" width="62.33203125" style="43" customWidth="1"/>
    <col min="4103" max="4103" width="26.33203125" style="43" customWidth="1"/>
    <col min="4104" max="4104" width="27.6640625" style="43" customWidth="1"/>
    <col min="4105" max="4105" width="27.109375" style="43" customWidth="1"/>
    <col min="4106" max="4106" width="20" style="43" customWidth="1"/>
    <col min="4107" max="4107" width="14.33203125" style="43" customWidth="1"/>
    <col min="4108" max="4166" width="10.6640625" style="43" customWidth="1"/>
    <col min="4167" max="4167" width="38.88671875" style="43" customWidth="1"/>
    <col min="4168" max="4171" width="0" style="43" hidden="1" customWidth="1"/>
    <col min="4172" max="4352" width="11.44140625" style="43"/>
    <col min="4353" max="4353" width="35.5546875" style="43" customWidth="1"/>
    <col min="4354" max="4354" width="19.33203125" style="43" customWidth="1"/>
    <col min="4355" max="4355" width="12.44140625" style="43" customWidth="1"/>
    <col min="4356" max="4356" width="25" style="43" customWidth="1"/>
    <col min="4357" max="4357" width="13.88671875" style="43" customWidth="1"/>
    <col min="4358" max="4358" width="62.33203125" style="43" customWidth="1"/>
    <col min="4359" max="4359" width="26.33203125" style="43" customWidth="1"/>
    <col min="4360" max="4360" width="27.6640625" style="43" customWidth="1"/>
    <col min="4361" max="4361" width="27.109375" style="43" customWidth="1"/>
    <col min="4362" max="4362" width="20" style="43" customWidth="1"/>
    <col min="4363" max="4363" width="14.33203125" style="43" customWidth="1"/>
    <col min="4364" max="4422" width="10.6640625" style="43" customWidth="1"/>
    <col min="4423" max="4423" width="38.88671875" style="43" customWidth="1"/>
    <col min="4424" max="4427" width="0" style="43" hidden="1" customWidth="1"/>
    <col min="4428" max="4608" width="11.44140625" style="43"/>
    <col min="4609" max="4609" width="35.5546875" style="43" customWidth="1"/>
    <col min="4610" max="4610" width="19.33203125" style="43" customWidth="1"/>
    <col min="4611" max="4611" width="12.44140625" style="43" customWidth="1"/>
    <col min="4612" max="4612" width="25" style="43" customWidth="1"/>
    <col min="4613" max="4613" width="13.88671875" style="43" customWidth="1"/>
    <col min="4614" max="4614" width="62.33203125" style="43" customWidth="1"/>
    <col min="4615" max="4615" width="26.33203125" style="43" customWidth="1"/>
    <col min="4616" max="4616" width="27.6640625" style="43" customWidth="1"/>
    <col min="4617" max="4617" width="27.109375" style="43" customWidth="1"/>
    <col min="4618" max="4618" width="20" style="43" customWidth="1"/>
    <col min="4619" max="4619" width="14.33203125" style="43" customWidth="1"/>
    <col min="4620" max="4678" width="10.6640625" style="43" customWidth="1"/>
    <col min="4679" max="4679" width="38.88671875" style="43" customWidth="1"/>
    <col min="4680" max="4683" width="0" style="43" hidden="1" customWidth="1"/>
    <col min="4684" max="4864" width="11.44140625" style="43"/>
    <col min="4865" max="4865" width="35.5546875" style="43" customWidth="1"/>
    <col min="4866" max="4866" width="19.33203125" style="43" customWidth="1"/>
    <col min="4867" max="4867" width="12.44140625" style="43" customWidth="1"/>
    <col min="4868" max="4868" width="25" style="43" customWidth="1"/>
    <col min="4869" max="4869" width="13.88671875" style="43" customWidth="1"/>
    <col min="4870" max="4870" width="62.33203125" style="43" customWidth="1"/>
    <col min="4871" max="4871" width="26.33203125" style="43" customWidth="1"/>
    <col min="4872" max="4872" width="27.6640625" style="43" customWidth="1"/>
    <col min="4873" max="4873" width="27.109375" style="43" customWidth="1"/>
    <col min="4874" max="4874" width="20" style="43" customWidth="1"/>
    <col min="4875" max="4875" width="14.33203125" style="43" customWidth="1"/>
    <col min="4876" max="4934" width="10.6640625" style="43" customWidth="1"/>
    <col min="4935" max="4935" width="38.88671875" style="43" customWidth="1"/>
    <col min="4936" max="4939" width="0" style="43" hidden="1" customWidth="1"/>
    <col min="4940" max="5120" width="11.44140625" style="43"/>
    <col min="5121" max="5121" width="35.5546875" style="43" customWidth="1"/>
    <col min="5122" max="5122" width="19.33203125" style="43" customWidth="1"/>
    <col min="5123" max="5123" width="12.44140625" style="43" customWidth="1"/>
    <col min="5124" max="5124" width="25" style="43" customWidth="1"/>
    <col min="5125" max="5125" width="13.88671875" style="43" customWidth="1"/>
    <col min="5126" max="5126" width="62.33203125" style="43" customWidth="1"/>
    <col min="5127" max="5127" width="26.33203125" style="43" customWidth="1"/>
    <col min="5128" max="5128" width="27.6640625" style="43" customWidth="1"/>
    <col min="5129" max="5129" width="27.109375" style="43" customWidth="1"/>
    <col min="5130" max="5130" width="20" style="43" customWidth="1"/>
    <col min="5131" max="5131" width="14.33203125" style="43" customWidth="1"/>
    <col min="5132" max="5190" width="10.6640625" style="43" customWidth="1"/>
    <col min="5191" max="5191" width="38.88671875" style="43" customWidth="1"/>
    <col min="5192" max="5195" width="0" style="43" hidden="1" customWidth="1"/>
    <col min="5196" max="5376" width="11.44140625" style="43"/>
    <col min="5377" max="5377" width="35.5546875" style="43" customWidth="1"/>
    <col min="5378" max="5378" width="19.33203125" style="43" customWidth="1"/>
    <col min="5379" max="5379" width="12.44140625" style="43" customWidth="1"/>
    <col min="5380" max="5380" width="25" style="43" customWidth="1"/>
    <col min="5381" max="5381" width="13.88671875" style="43" customWidth="1"/>
    <col min="5382" max="5382" width="62.33203125" style="43" customWidth="1"/>
    <col min="5383" max="5383" width="26.33203125" style="43" customWidth="1"/>
    <col min="5384" max="5384" width="27.6640625" style="43" customWidth="1"/>
    <col min="5385" max="5385" width="27.109375" style="43" customWidth="1"/>
    <col min="5386" max="5386" width="20" style="43" customWidth="1"/>
    <col min="5387" max="5387" width="14.33203125" style="43" customWidth="1"/>
    <col min="5388" max="5446" width="10.6640625" style="43" customWidth="1"/>
    <col min="5447" max="5447" width="38.88671875" style="43" customWidth="1"/>
    <col min="5448" max="5451" width="0" style="43" hidden="1" customWidth="1"/>
    <col min="5452" max="5632" width="11.44140625" style="43"/>
    <col min="5633" max="5633" width="35.5546875" style="43" customWidth="1"/>
    <col min="5634" max="5634" width="19.33203125" style="43" customWidth="1"/>
    <col min="5635" max="5635" width="12.44140625" style="43" customWidth="1"/>
    <col min="5636" max="5636" width="25" style="43" customWidth="1"/>
    <col min="5637" max="5637" width="13.88671875" style="43" customWidth="1"/>
    <col min="5638" max="5638" width="62.33203125" style="43" customWidth="1"/>
    <col min="5639" max="5639" width="26.33203125" style="43" customWidth="1"/>
    <col min="5640" max="5640" width="27.6640625" style="43" customWidth="1"/>
    <col min="5641" max="5641" width="27.109375" style="43" customWidth="1"/>
    <col min="5642" max="5642" width="20" style="43" customWidth="1"/>
    <col min="5643" max="5643" width="14.33203125" style="43" customWidth="1"/>
    <col min="5644" max="5702" width="10.6640625" style="43" customWidth="1"/>
    <col min="5703" max="5703" width="38.88671875" style="43" customWidth="1"/>
    <col min="5704" max="5707" width="0" style="43" hidden="1" customWidth="1"/>
    <col min="5708" max="5888" width="11.44140625" style="43"/>
    <col min="5889" max="5889" width="35.5546875" style="43" customWidth="1"/>
    <col min="5890" max="5890" width="19.33203125" style="43" customWidth="1"/>
    <col min="5891" max="5891" width="12.44140625" style="43" customWidth="1"/>
    <col min="5892" max="5892" width="25" style="43" customWidth="1"/>
    <col min="5893" max="5893" width="13.88671875" style="43" customWidth="1"/>
    <col min="5894" max="5894" width="62.33203125" style="43" customWidth="1"/>
    <col min="5895" max="5895" width="26.33203125" style="43" customWidth="1"/>
    <col min="5896" max="5896" width="27.6640625" style="43" customWidth="1"/>
    <col min="5897" max="5897" width="27.109375" style="43" customWidth="1"/>
    <col min="5898" max="5898" width="20" style="43" customWidth="1"/>
    <col min="5899" max="5899" width="14.33203125" style="43" customWidth="1"/>
    <col min="5900" max="5958" width="10.6640625" style="43" customWidth="1"/>
    <col min="5959" max="5959" width="38.88671875" style="43" customWidth="1"/>
    <col min="5960" max="5963" width="0" style="43" hidden="1" customWidth="1"/>
    <col min="5964" max="6144" width="11.44140625" style="43"/>
    <col min="6145" max="6145" width="35.5546875" style="43" customWidth="1"/>
    <col min="6146" max="6146" width="19.33203125" style="43" customWidth="1"/>
    <col min="6147" max="6147" width="12.44140625" style="43" customWidth="1"/>
    <col min="6148" max="6148" width="25" style="43" customWidth="1"/>
    <col min="6149" max="6149" width="13.88671875" style="43" customWidth="1"/>
    <col min="6150" max="6150" width="62.33203125" style="43" customWidth="1"/>
    <col min="6151" max="6151" width="26.33203125" style="43" customWidth="1"/>
    <col min="6152" max="6152" width="27.6640625" style="43" customWidth="1"/>
    <col min="6153" max="6153" width="27.109375" style="43" customWidth="1"/>
    <col min="6154" max="6154" width="20" style="43" customWidth="1"/>
    <col min="6155" max="6155" width="14.33203125" style="43" customWidth="1"/>
    <col min="6156" max="6214" width="10.6640625" style="43" customWidth="1"/>
    <col min="6215" max="6215" width="38.88671875" style="43" customWidth="1"/>
    <col min="6216" max="6219" width="0" style="43" hidden="1" customWidth="1"/>
    <col min="6220" max="6400" width="11.44140625" style="43"/>
    <col min="6401" max="6401" width="35.5546875" style="43" customWidth="1"/>
    <col min="6402" max="6402" width="19.33203125" style="43" customWidth="1"/>
    <col min="6403" max="6403" width="12.44140625" style="43" customWidth="1"/>
    <col min="6404" max="6404" width="25" style="43" customWidth="1"/>
    <col min="6405" max="6405" width="13.88671875" style="43" customWidth="1"/>
    <col min="6406" max="6406" width="62.33203125" style="43" customWidth="1"/>
    <col min="6407" max="6407" width="26.33203125" style="43" customWidth="1"/>
    <col min="6408" max="6408" width="27.6640625" style="43" customWidth="1"/>
    <col min="6409" max="6409" width="27.109375" style="43" customWidth="1"/>
    <col min="6410" max="6410" width="20" style="43" customWidth="1"/>
    <col min="6411" max="6411" width="14.33203125" style="43" customWidth="1"/>
    <col min="6412" max="6470" width="10.6640625" style="43" customWidth="1"/>
    <col min="6471" max="6471" width="38.88671875" style="43" customWidth="1"/>
    <col min="6472" max="6475" width="0" style="43" hidden="1" customWidth="1"/>
    <col min="6476" max="6656" width="11.44140625" style="43"/>
    <col min="6657" max="6657" width="35.5546875" style="43" customWidth="1"/>
    <col min="6658" max="6658" width="19.33203125" style="43" customWidth="1"/>
    <col min="6659" max="6659" width="12.44140625" style="43" customWidth="1"/>
    <col min="6660" max="6660" width="25" style="43" customWidth="1"/>
    <col min="6661" max="6661" width="13.88671875" style="43" customWidth="1"/>
    <col min="6662" max="6662" width="62.33203125" style="43" customWidth="1"/>
    <col min="6663" max="6663" width="26.33203125" style="43" customWidth="1"/>
    <col min="6664" max="6664" width="27.6640625" style="43" customWidth="1"/>
    <col min="6665" max="6665" width="27.109375" style="43" customWidth="1"/>
    <col min="6666" max="6666" width="20" style="43" customWidth="1"/>
    <col min="6667" max="6667" width="14.33203125" style="43" customWidth="1"/>
    <col min="6668" max="6726" width="10.6640625" style="43" customWidth="1"/>
    <col min="6727" max="6727" width="38.88671875" style="43" customWidth="1"/>
    <col min="6728" max="6731" width="0" style="43" hidden="1" customWidth="1"/>
    <col min="6732" max="6912" width="11.44140625" style="43"/>
    <col min="6913" max="6913" width="35.5546875" style="43" customWidth="1"/>
    <col min="6914" max="6914" width="19.33203125" style="43" customWidth="1"/>
    <col min="6915" max="6915" width="12.44140625" style="43" customWidth="1"/>
    <col min="6916" max="6916" width="25" style="43" customWidth="1"/>
    <col min="6917" max="6917" width="13.88671875" style="43" customWidth="1"/>
    <col min="6918" max="6918" width="62.33203125" style="43" customWidth="1"/>
    <col min="6919" max="6919" width="26.33203125" style="43" customWidth="1"/>
    <col min="6920" max="6920" width="27.6640625" style="43" customWidth="1"/>
    <col min="6921" max="6921" width="27.109375" style="43" customWidth="1"/>
    <col min="6922" max="6922" width="20" style="43" customWidth="1"/>
    <col min="6923" max="6923" width="14.33203125" style="43" customWidth="1"/>
    <col min="6924" max="6982" width="10.6640625" style="43" customWidth="1"/>
    <col min="6983" max="6983" width="38.88671875" style="43" customWidth="1"/>
    <col min="6984" max="6987" width="0" style="43" hidden="1" customWidth="1"/>
    <col min="6988" max="7168" width="11.44140625" style="43"/>
    <col min="7169" max="7169" width="35.5546875" style="43" customWidth="1"/>
    <col min="7170" max="7170" width="19.33203125" style="43" customWidth="1"/>
    <col min="7171" max="7171" width="12.44140625" style="43" customWidth="1"/>
    <col min="7172" max="7172" width="25" style="43" customWidth="1"/>
    <col min="7173" max="7173" width="13.88671875" style="43" customWidth="1"/>
    <col min="7174" max="7174" width="62.33203125" style="43" customWidth="1"/>
    <col min="7175" max="7175" width="26.33203125" style="43" customWidth="1"/>
    <col min="7176" max="7176" width="27.6640625" style="43" customWidth="1"/>
    <col min="7177" max="7177" width="27.109375" style="43" customWidth="1"/>
    <col min="7178" max="7178" width="20" style="43" customWidth="1"/>
    <col min="7179" max="7179" width="14.33203125" style="43" customWidth="1"/>
    <col min="7180" max="7238" width="10.6640625" style="43" customWidth="1"/>
    <col min="7239" max="7239" width="38.88671875" style="43" customWidth="1"/>
    <col min="7240" max="7243" width="0" style="43" hidden="1" customWidth="1"/>
    <col min="7244" max="7424" width="11.44140625" style="43"/>
    <col min="7425" max="7425" width="35.5546875" style="43" customWidth="1"/>
    <col min="7426" max="7426" width="19.33203125" style="43" customWidth="1"/>
    <col min="7427" max="7427" width="12.44140625" style="43" customWidth="1"/>
    <col min="7428" max="7428" width="25" style="43" customWidth="1"/>
    <col min="7429" max="7429" width="13.88671875" style="43" customWidth="1"/>
    <col min="7430" max="7430" width="62.33203125" style="43" customWidth="1"/>
    <col min="7431" max="7431" width="26.33203125" style="43" customWidth="1"/>
    <col min="7432" max="7432" width="27.6640625" style="43" customWidth="1"/>
    <col min="7433" max="7433" width="27.109375" style="43" customWidth="1"/>
    <col min="7434" max="7434" width="20" style="43" customWidth="1"/>
    <col min="7435" max="7435" width="14.33203125" style="43" customWidth="1"/>
    <col min="7436" max="7494" width="10.6640625" style="43" customWidth="1"/>
    <col min="7495" max="7495" width="38.88671875" style="43" customWidth="1"/>
    <col min="7496" max="7499" width="0" style="43" hidden="1" customWidth="1"/>
    <col min="7500" max="7680" width="11.44140625" style="43"/>
    <col min="7681" max="7681" width="35.5546875" style="43" customWidth="1"/>
    <col min="7682" max="7682" width="19.33203125" style="43" customWidth="1"/>
    <col min="7683" max="7683" width="12.44140625" style="43" customWidth="1"/>
    <col min="7684" max="7684" width="25" style="43" customWidth="1"/>
    <col min="7685" max="7685" width="13.88671875" style="43" customWidth="1"/>
    <col min="7686" max="7686" width="62.33203125" style="43" customWidth="1"/>
    <col min="7687" max="7687" width="26.33203125" style="43" customWidth="1"/>
    <col min="7688" max="7688" width="27.6640625" style="43" customWidth="1"/>
    <col min="7689" max="7689" width="27.109375" style="43" customWidth="1"/>
    <col min="7690" max="7690" width="20" style="43" customWidth="1"/>
    <col min="7691" max="7691" width="14.33203125" style="43" customWidth="1"/>
    <col min="7692" max="7750" width="10.6640625" style="43" customWidth="1"/>
    <col min="7751" max="7751" width="38.88671875" style="43" customWidth="1"/>
    <col min="7752" max="7755" width="0" style="43" hidden="1" customWidth="1"/>
    <col min="7756" max="7936" width="11.44140625" style="43"/>
    <col min="7937" max="7937" width="35.5546875" style="43" customWidth="1"/>
    <col min="7938" max="7938" width="19.33203125" style="43" customWidth="1"/>
    <col min="7939" max="7939" width="12.44140625" style="43" customWidth="1"/>
    <col min="7940" max="7940" width="25" style="43" customWidth="1"/>
    <col min="7941" max="7941" width="13.88671875" style="43" customWidth="1"/>
    <col min="7942" max="7942" width="62.33203125" style="43" customWidth="1"/>
    <col min="7943" max="7943" width="26.33203125" style="43" customWidth="1"/>
    <col min="7944" max="7944" width="27.6640625" style="43" customWidth="1"/>
    <col min="7945" max="7945" width="27.109375" style="43" customWidth="1"/>
    <col min="7946" max="7946" width="20" style="43" customWidth="1"/>
    <col min="7947" max="7947" width="14.33203125" style="43" customWidth="1"/>
    <col min="7948" max="8006" width="10.6640625" style="43" customWidth="1"/>
    <col min="8007" max="8007" width="38.88671875" style="43" customWidth="1"/>
    <col min="8008" max="8011" width="0" style="43" hidden="1" customWidth="1"/>
    <col min="8012" max="8192" width="11.44140625" style="43"/>
    <col min="8193" max="8193" width="35.5546875" style="43" customWidth="1"/>
    <col min="8194" max="8194" width="19.33203125" style="43" customWidth="1"/>
    <col min="8195" max="8195" width="12.44140625" style="43" customWidth="1"/>
    <col min="8196" max="8196" width="25" style="43" customWidth="1"/>
    <col min="8197" max="8197" width="13.88671875" style="43" customWidth="1"/>
    <col min="8198" max="8198" width="62.33203125" style="43" customWidth="1"/>
    <col min="8199" max="8199" width="26.33203125" style="43" customWidth="1"/>
    <col min="8200" max="8200" width="27.6640625" style="43" customWidth="1"/>
    <col min="8201" max="8201" width="27.109375" style="43" customWidth="1"/>
    <col min="8202" max="8202" width="20" style="43" customWidth="1"/>
    <col min="8203" max="8203" width="14.33203125" style="43" customWidth="1"/>
    <col min="8204" max="8262" width="10.6640625" style="43" customWidth="1"/>
    <col min="8263" max="8263" width="38.88671875" style="43" customWidth="1"/>
    <col min="8264" max="8267" width="0" style="43" hidden="1" customWidth="1"/>
    <col min="8268" max="8448" width="11.44140625" style="43"/>
    <col min="8449" max="8449" width="35.5546875" style="43" customWidth="1"/>
    <col min="8450" max="8450" width="19.33203125" style="43" customWidth="1"/>
    <col min="8451" max="8451" width="12.44140625" style="43" customWidth="1"/>
    <col min="8452" max="8452" width="25" style="43" customWidth="1"/>
    <col min="8453" max="8453" width="13.88671875" style="43" customWidth="1"/>
    <col min="8454" max="8454" width="62.33203125" style="43" customWidth="1"/>
    <col min="8455" max="8455" width="26.33203125" style="43" customWidth="1"/>
    <col min="8456" max="8456" width="27.6640625" style="43" customWidth="1"/>
    <col min="8457" max="8457" width="27.109375" style="43" customWidth="1"/>
    <col min="8458" max="8458" width="20" style="43" customWidth="1"/>
    <col min="8459" max="8459" width="14.33203125" style="43" customWidth="1"/>
    <col min="8460" max="8518" width="10.6640625" style="43" customWidth="1"/>
    <col min="8519" max="8519" width="38.88671875" style="43" customWidth="1"/>
    <col min="8520" max="8523" width="0" style="43" hidden="1" customWidth="1"/>
    <col min="8524" max="8704" width="11.44140625" style="43"/>
    <col min="8705" max="8705" width="35.5546875" style="43" customWidth="1"/>
    <col min="8706" max="8706" width="19.33203125" style="43" customWidth="1"/>
    <col min="8707" max="8707" width="12.44140625" style="43" customWidth="1"/>
    <col min="8708" max="8708" width="25" style="43" customWidth="1"/>
    <col min="8709" max="8709" width="13.88671875" style="43" customWidth="1"/>
    <col min="8710" max="8710" width="62.33203125" style="43" customWidth="1"/>
    <col min="8711" max="8711" width="26.33203125" style="43" customWidth="1"/>
    <col min="8712" max="8712" width="27.6640625" style="43" customWidth="1"/>
    <col min="8713" max="8713" width="27.109375" style="43" customWidth="1"/>
    <col min="8714" max="8714" width="20" style="43" customWidth="1"/>
    <col min="8715" max="8715" width="14.33203125" style="43" customWidth="1"/>
    <col min="8716" max="8774" width="10.6640625" style="43" customWidth="1"/>
    <col min="8775" max="8775" width="38.88671875" style="43" customWidth="1"/>
    <col min="8776" max="8779" width="0" style="43" hidden="1" customWidth="1"/>
    <col min="8780" max="8960" width="11.44140625" style="43"/>
    <col min="8961" max="8961" width="35.5546875" style="43" customWidth="1"/>
    <col min="8962" max="8962" width="19.33203125" style="43" customWidth="1"/>
    <col min="8963" max="8963" width="12.44140625" style="43" customWidth="1"/>
    <col min="8964" max="8964" width="25" style="43" customWidth="1"/>
    <col min="8965" max="8965" width="13.88671875" style="43" customWidth="1"/>
    <col min="8966" max="8966" width="62.33203125" style="43" customWidth="1"/>
    <col min="8967" max="8967" width="26.33203125" style="43" customWidth="1"/>
    <col min="8968" max="8968" width="27.6640625" style="43" customWidth="1"/>
    <col min="8969" max="8969" width="27.109375" style="43" customWidth="1"/>
    <col min="8970" max="8970" width="20" style="43" customWidth="1"/>
    <col min="8971" max="8971" width="14.33203125" style="43" customWidth="1"/>
    <col min="8972" max="9030" width="10.6640625" style="43" customWidth="1"/>
    <col min="9031" max="9031" width="38.88671875" style="43" customWidth="1"/>
    <col min="9032" max="9035" width="0" style="43" hidden="1" customWidth="1"/>
    <col min="9036" max="9216" width="11.44140625" style="43"/>
    <col min="9217" max="9217" width="35.5546875" style="43" customWidth="1"/>
    <col min="9218" max="9218" width="19.33203125" style="43" customWidth="1"/>
    <col min="9219" max="9219" width="12.44140625" style="43" customWidth="1"/>
    <col min="9220" max="9220" width="25" style="43" customWidth="1"/>
    <col min="9221" max="9221" width="13.88671875" style="43" customWidth="1"/>
    <col min="9222" max="9222" width="62.33203125" style="43" customWidth="1"/>
    <col min="9223" max="9223" width="26.33203125" style="43" customWidth="1"/>
    <col min="9224" max="9224" width="27.6640625" style="43" customWidth="1"/>
    <col min="9225" max="9225" width="27.109375" style="43" customWidth="1"/>
    <col min="9226" max="9226" width="20" style="43" customWidth="1"/>
    <col min="9227" max="9227" width="14.33203125" style="43" customWidth="1"/>
    <col min="9228" max="9286" width="10.6640625" style="43" customWidth="1"/>
    <col min="9287" max="9287" width="38.88671875" style="43" customWidth="1"/>
    <col min="9288" max="9291" width="0" style="43" hidden="1" customWidth="1"/>
    <col min="9292" max="9472" width="11.44140625" style="43"/>
    <col min="9473" max="9473" width="35.5546875" style="43" customWidth="1"/>
    <col min="9474" max="9474" width="19.33203125" style="43" customWidth="1"/>
    <col min="9475" max="9475" width="12.44140625" style="43" customWidth="1"/>
    <col min="9476" max="9476" width="25" style="43" customWidth="1"/>
    <col min="9477" max="9477" width="13.88671875" style="43" customWidth="1"/>
    <col min="9478" max="9478" width="62.33203125" style="43" customWidth="1"/>
    <col min="9479" max="9479" width="26.33203125" style="43" customWidth="1"/>
    <col min="9480" max="9480" width="27.6640625" style="43" customWidth="1"/>
    <col min="9481" max="9481" width="27.109375" style="43" customWidth="1"/>
    <col min="9482" max="9482" width="20" style="43" customWidth="1"/>
    <col min="9483" max="9483" width="14.33203125" style="43" customWidth="1"/>
    <col min="9484" max="9542" width="10.6640625" style="43" customWidth="1"/>
    <col min="9543" max="9543" width="38.88671875" style="43" customWidth="1"/>
    <col min="9544" max="9547" width="0" style="43" hidden="1" customWidth="1"/>
    <col min="9548" max="9728" width="11.44140625" style="43"/>
    <col min="9729" max="9729" width="35.5546875" style="43" customWidth="1"/>
    <col min="9730" max="9730" width="19.33203125" style="43" customWidth="1"/>
    <col min="9731" max="9731" width="12.44140625" style="43" customWidth="1"/>
    <col min="9732" max="9732" width="25" style="43" customWidth="1"/>
    <col min="9733" max="9733" width="13.88671875" style="43" customWidth="1"/>
    <col min="9734" max="9734" width="62.33203125" style="43" customWidth="1"/>
    <col min="9735" max="9735" width="26.33203125" style="43" customWidth="1"/>
    <col min="9736" max="9736" width="27.6640625" style="43" customWidth="1"/>
    <col min="9737" max="9737" width="27.109375" style="43" customWidth="1"/>
    <col min="9738" max="9738" width="20" style="43" customWidth="1"/>
    <col min="9739" max="9739" width="14.33203125" style="43" customWidth="1"/>
    <col min="9740" max="9798" width="10.6640625" style="43" customWidth="1"/>
    <col min="9799" max="9799" width="38.88671875" style="43" customWidth="1"/>
    <col min="9800" max="9803" width="0" style="43" hidden="1" customWidth="1"/>
    <col min="9804" max="9984" width="11.44140625" style="43"/>
    <col min="9985" max="9985" width="35.5546875" style="43" customWidth="1"/>
    <col min="9986" max="9986" width="19.33203125" style="43" customWidth="1"/>
    <col min="9987" max="9987" width="12.44140625" style="43" customWidth="1"/>
    <col min="9988" max="9988" width="25" style="43" customWidth="1"/>
    <col min="9989" max="9989" width="13.88671875" style="43" customWidth="1"/>
    <col min="9990" max="9990" width="62.33203125" style="43" customWidth="1"/>
    <col min="9991" max="9991" width="26.33203125" style="43" customWidth="1"/>
    <col min="9992" max="9992" width="27.6640625" style="43" customWidth="1"/>
    <col min="9993" max="9993" width="27.109375" style="43" customWidth="1"/>
    <col min="9994" max="9994" width="20" style="43" customWidth="1"/>
    <col min="9995" max="9995" width="14.33203125" style="43" customWidth="1"/>
    <col min="9996" max="10054" width="10.6640625" style="43" customWidth="1"/>
    <col min="10055" max="10055" width="38.88671875" style="43" customWidth="1"/>
    <col min="10056" max="10059" width="0" style="43" hidden="1" customWidth="1"/>
    <col min="10060" max="10240" width="11.44140625" style="43"/>
    <col min="10241" max="10241" width="35.5546875" style="43" customWidth="1"/>
    <col min="10242" max="10242" width="19.33203125" style="43" customWidth="1"/>
    <col min="10243" max="10243" width="12.44140625" style="43" customWidth="1"/>
    <col min="10244" max="10244" width="25" style="43" customWidth="1"/>
    <col min="10245" max="10245" width="13.88671875" style="43" customWidth="1"/>
    <col min="10246" max="10246" width="62.33203125" style="43" customWidth="1"/>
    <col min="10247" max="10247" width="26.33203125" style="43" customWidth="1"/>
    <col min="10248" max="10248" width="27.6640625" style="43" customWidth="1"/>
    <col min="10249" max="10249" width="27.109375" style="43" customWidth="1"/>
    <col min="10250" max="10250" width="20" style="43" customWidth="1"/>
    <col min="10251" max="10251" width="14.33203125" style="43" customWidth="1"/>
    <col min="10252" max="10310" width="10.6640625" style="43" customWidth="1"/>
    <col min="10311" max="10311" width="38.88671875" style="43" customWidth="1"/>
    <col min="10312" max="10315" width="0" style="43" hidden="1" customWidth="1"/>
    <col min="10316" max="10496" width="11.44140625" style="43"/>
    <col min="10497" max="10497" width="35.5546875" style="43" customWidth="1"/>
    <col min="10498" max="10498" width="19.33203125" style="43" customWidth="1"/>
    <col min="10499" max="10499" width="12.44140625" style="43" customWidth="1"/>
    <col min="10500" max="10500" width="25" style="43" customWidth="1"/>
    <col min="10501" max="10501" width="13.88671875" style="43" customWidth="1"/>
    <col min="10502" max="10502" width="62.33203125" style="43" customWidth="1"/>
    <col min="10503" max="10503" width="26.33203125" style="43" customWidth="1"/>
    <col min="10504" max="10504" width="27.6640625" style="43" customWidth="1"/>
    <col min="10505" max="10505" width="27.109375" style="43" customWidth="1"/>
    <col min="10506" max="10506" width="20" style="43" customWidth="1"/>
    <col min="10507" max="10507" width="14.33203125" style="43" customWidth="1"/>
    <col min="10508" max="10566" width="10.6640625" style="43" customWidth="1"/>
    <col min="10567" max="10567" width="38.88671875" style="43" customWidth="1"/>
    <col min="10568" max="10571" width="0" style="43" hidden="1" customWidth="1"/>
    <col min="10572" max="10752" width="11.44140625" style="43"/>
    <col min="10753" max="10753" width="35.5546875" style="43" customWidth="1"/>
    <col min="10754" max="10754" width="19.33203125" style="43" customWidth="1"/>
    <col min="10755" max="10755" width="12.44140625" style="43" customWidth="1"/>
    <col min="10756" max="10756" width="25" style="43" customWidth="1"/>
    <col min="10757" max="10757" width="13.88671875" style="43" customWidth="1"/>
    <col min="10758" max="10758" width="62.33203125" style="43" customWidth="1"/>
    <col min="10759" max="10759" width="26.33203125" style="43" customWidth="1"/>
    <col min="10760" max="10760" width="27.6640625" style="43" customWidth="1"/>
    <col min="10761" max="10761" width="27.109375" style="43" customWidth="1"/>
    <col min="10762" max="10762" width="20" style="43" customWidth="1"/>
    <col min="10763" max="10763" width="14.33203125" style="43" customWidth="1"/>
    <col min="10764" max="10822" width="10.6640625" style="43" customWidth="1"/>
    <col min="10823" max="10823" width="38.88671875" style="43" customWidth="1"/>
    <col min="10824" max="10827" width="0" style="43" hidden="1" customWidth="1"/>
    <col min="10828" max="11008" width="11.44140625" style="43"/>
    <col min="11009" max="11009" width="35.5546875" style="43" customWidth="1"/>
    <col min="11010" max="11010" width="19.33203125" style="43" customWidth="1"/>
    <col min="11011" max="11011" width="12.44140625" style="43" customWidth="1"/>
    <col min="11012" max="11012" width="25" style="43" customWidth="1"/>
    <col min="11013" max="11013" width="13.88671875" style="43" customWidth="1"/>
    <col min="11014" max="11014" width="62.33203125" style="43" customWidth="1"/>
    <col min="11015" max="11015" width="26.33203125" style="43" customWidth="1"/>
    <col min="11016" max="11016" width="27.6640625" style="43" customWidth="1"/>
    <col min="11017" max="11017" width="27.109375" style="43" customWidth="1"/>
    <col min="11018" max="11018" width="20" style="43" customWidth="1"/>
    <col min="11019" max="11019" width="14.33203125" style="43" customWidth="1"/>
    <col min="11020" max="11078" width="10.6640625" style="43" customWidth="1"/>
    <col min="11079" max="11079" width="38.88671875" style="43" customWidth="1"/>
    <col min="11080" max="11083" width="0" style="43" hidden="1" customWidth="1"/>
    <col min="11084" max="11264" width="11.44140625" style="43"/>
    <col min="11265" max="11265" width="35.5546875" style="43" customWidth="1"/>
    <col min="11266" max="11266" width="19.33203125" style="43" customWidth="1"/>
    <col min="11267" max="11267" width="12.44140625" style="43" customWidth="1"/>
    <col min="11268" max="11268" width="25" style="43" customWidth="1"/>
    <col min="11269" max="11269" width="13.88671875" style="43" customWidth="1"/>
    <col min="11270" max="11270" width="62.33203125" style="43" customWidth="1"/>
    <col min="11271" max="11271" width="26.33203125" style="43" customWidth="1"/>
    <col min="11272" max="11272" width="27.6640625" style="43" customWidth="1"/>
    <col min="11273" max="11273" width="27.109375" style="43" customWidth="1"/>
    <col min="11274" max="11274" width="20" style="43" customWidth="1"/>
    <col min="11275" max="11275" width="14.33203125" style="43" customWidth="1"/>
    <col min="11276" max="11334" width="10.6640625" style="43" customWidth="1"/>
    <col min="11335" max="11335" width="38.88671875" style="43" customWidth="1"/>
    <col min="11336" max="11339" width="0" style="43" hidden="1" customWidth="1"/>
    <col min="11340" max="11520" width="11.44140625" style="43"/>
    <col min="11521" max="11521" width="35.5546875" style="43" customWidth="1"/>
    <col min="11522" max="11522" width="19.33203125" style="43" customWidth="1"/>
    <col min="11523" max="11523" width="12.44140625" style="43" customWidth="1"/>
    <col min="11524" max="11524" width="25" style="43" customWidth="1"/>
    <col min="11525" max="11525" width="13.88671875" style="43" customWidth="1"/>
    <col min="11526" max="11526" width="62.33203125" style="43" customWidth="1"/>
    <col min="11527" max="11527" width="26.33203125" style="43" customWidth="1"/>
    <col min="11528" max="11528" width="27.6640625" style="43" customWidth="1"/>
    <col min="11529" max="11529" width="27.109375" style="43" customWidth="1"/>
    <col min="11530" max="11530" width="20" style="43" customWidth="1"/>
    <col min="11531" max="11531" width="14.33203125" style="43" customWidth="1"/>
    <col min="11532" max="11590" width="10.6640625" style="43" customWidth="1"/>
    <col min="11591" max="11591" width="38.88671875" style="43" customWidth="1"/>
    <col min="11592" max="11595" width="0" style="43" hidden="1" customWidth="1"/>
    <col min="11596" max="11776" width="11.44140625" style="43"/>
    <col min="11777" max="11777" width="35.5546875" style="43" customWidth="1"/>
    <col min="11778" max="11778" width="19.33203125" style="43" customWidth="1"/>
    <col min="11779" max="11779" width="12.44140625" style="43" customWidth="1"/>
    <col min="11780" max="11780" width="25" style="43" customWidth="1"/>
    <col min="11781" max="11781" width="13.88671875" style="43" customWidth="1"/>
    <col min="11782" max="11782" width="62.33203125" style="43" customWidth="1"/>
    <col min="11783" max="11783" width="26.33203125" style="43" customWidth="1"/>
    <col min="11784" max="11784" width="27.6640625" style="43" customWidth="1"/>
    <col min="11785" max="11785" width="27.109375" style="43" customWidth="1"/>
    <col min="11786" max="11786" width="20" style="43" customWidth="1"/>
    <col min="11787" max="11787" width="14.33203125" style="43" customWidth="1"/>
    <col min="11788" max="11846" width="10.6640625" style="43" customWidth="1"/>
    <col min="11847" max="11847" width="38.88671875" style="43" customWidth="1"/>
    <col min="11848" max="11851" width="0" style="43" hidden="1" customWidth="1"/>
    <col min="11852" max="12032" width="11.44140625" style="43"/>
    <col min="12033" max="12033" width="35.5546875" style="43" customWidth="1"/>
    <col min="12034" max="12034" width="19.33203125" style="43" customWidth="1"/>
    <col min="12035" max="12035" width="12.44140625" style="43" customWidth="1"/>
    <col min="12036" max="12036" width="25" style="43" customWidth="1"/>
    <col min="12037" max="12037" width="13.88671875" style="43" customWidth="1"/>
    <col min="12038" max="12038" width="62.33203125" style="43" customWidth="1"/>
    <col min="12039" max="12039" width="26.33203125" style="43" customWidth="1"/>
    <col min="12040" max="12040" width="27.6640625" style="43" customWidth="1"/>
    <col min="12041" max="12041" width="27.109375" style="43" customWidth="1"/>
    <col min="12042" max="12042" width="20" style="43" customWidth="1"/>
    <col min="12043" max="12043" width="14.33203125" style="43" customWidth="1"/>
    <col min="12044" max="12102" width="10.6640625" style="43" customWidth="1"/>
    <col min="12103" max="12103" width="38.88671875" style="43" customWidth="1"/>
    <col min="12104" max="12107" width="0" style="43" hidden="1" customWidth="1"/>
    <col min="12108" max="12288" width="11.44140625" style="43"/>
    <col min="12289" max="12289" width="35.5546875" style="43" customWidth="1"/>
    <col min="12290" max="12290" width="19.33203125" style="43" customWidth="1"/>
    <col min="12291" max="12291" width="12.44140625" style="43" customWidth="1"/>
    <col min="12292" max="12292" width="25" style="43" customWidth="1"/>
    <col min="12293" max="12293" width="13.88671875" style="43" customWidth="1"/>
    <col min="12294" max="12294" width="62.33203125" style="43" customWidth="1"/>
    <col min="12295" max="12295" width="26.33203125" style="43" customWidth="1"/>
    <col min="12296" max="12296" width="27.6640625" style="43" customWidth="1"/>
    <col min="12297" max="12297" width="27.109375" style="43" customWidth="1"/>
    <col min="12298" max="12298" width="20" style="43" customWidth="1"/>
    <col min="12299" max="12299" width="14.33203125" style="43" customWidth="1"/>
    <col min="12300" max="12358" width="10.6640625" style="43" customWidth="1"/>
    <col min="12359" max="12359" width="38.88671875" style="43" customWidth="1"/>
    <col min="12360" max="12363" width="0" style="43" hidden="1" customWidth="1"/>
    <col min="12364" max="12544" width="11.44140625" style="43"/>
    <col min="12545" max="12545" width="35.5546875" style="43" customWidth="1"/>
    <col min="12546" max="12546" width="19.33203125" style="43" customWidth="1"/>
    <col min="12547" max="12547" width="12.44140625" style="43" customWidth="1"/>
    <col min="12548" max="12548" width="25" style="43" customWidth="1"/>
    <col min="12549" max="12549" width="13.88671875" style="43" customWidth="1"/>
    <col min="12550" max="12550" width="62.33203125" style="43" customWidth="1"/>
    <col min="12551" max="12551" width="26.33203125" style="43" customWidth="1"/>
    <col min="12552" max="12552" width="27.6640625" style="43" customWidth="1"/>
    <col min="12553" max="12553" width="27.109375" style="43" customWidth="1"/>
    <col min="12554" max="12554" width="20" style="43" customWidth="1"/>
    <col min="12555" max="12555" width="14.33203125" style="43" customWidth="1"/>
    <col min="12556" max="12614" width="10.6640625" style="43" customWidth="1"/>
    <col min="12615" max="12615" width="38.88671875" style="43" customWidth="1"/>
    <col min="12616" max="12619" width="0" style="43" hidden="1" customWidth="1"/>
    <col min="12620" max="12800" width="11.44140625" style="43"/>
    <col min="12801" max="12801" width="35.5546875" style="43" customWidth="1"/>
    <col min="12802" max="12802" width="19.33203125" style="43" customWidth="1"/>
    <col min="12803" max="12803" width="12.44140625" style="43" customWidth="1"/>
    <col min="12804" max="12804" width="25" style="43" customWidth="1"/>
    <col min="12805" max="12805" width="13.88671875" style="43" customWidth="1"/>
    <col min="12806" max="12806" width="62.33203125" style="43" customWidth="1"/>
    <col min="12807" max="12807" width="26.33203125" style="43" customWidth="1"/>
    <col min="12808" max="12808" width="27.6640625" style="43" customWidth="1"/>
    <col min="12809" max="12809" width="27.109375" style="43" customWidth="1"/>
    <col min="12810" max="12810" width="20" style="43" customWidth="1"/>
    <col min="12811" max="12811" width="14.33203125" style="43" customWidth="1"/>
    <col min="12812" max="12870" width="10.6640625" style="43" customWidth="1"/>
    <col min="12871" max="12871" width="38.88671875" style="43" customWidth="1"/>
    <col min="12872" max="12875" width="0" style="43" hidden="1" customWidth="1"/>
    <col min="12876" max="13056" width="11.44140625" style="43"/>
    <col min="13057" max="13057" width="35.5546875" style="43" customWidth="1"/>
    <col min="13058" max="13058" width="19.33203125" style="43" customWidth="1"/>
    <col min="13059" max="13059" width="12.44140625" style="43" customWidth="1"/>
    <col min="13060" max="13060" width="25" style="43" customWidth="1"/>
    <col min="13061" max="13061" width="13.88671875" style="43" customWidth="1"/>
    <col min="13062" max="13062" width="62.33203125" style="43" customWidth="1"/>
    <col min="13063" max="13063" width="26.33203125" style="43" customWidth="1"/>
    <col min="13064" max="13064" width="27.6640625" style="43" customWidth="1"/>
    <col min="13065" max="13065" width="27.109375" style="43" customWidth="1"/>
    <col min="13066" max="13066" width="20" style="43" customWidth="1"/>
    <col min="13067" max="13067" width="14.33203125" style="43" customWidth="1"/>
    <col min="13068" max="13126" width="10.6640625" style="43" customWidth="1"/>
    <col min="13127" max="13127" width="38.88671875" style="43" customWidth="1"/>
    <col min="13128" max="13131" width="0" style="43" hidden="1" customWidth="1"/>
    <col min="13132" max="13312" width="11.44140625" style="43"/>
    <col min="13313" max="13313" width="35.5546875" style="43" customWidth="1"/>
    <col min="13314" max="13314" width="19.33203125" style="43" customWidth="1"/>
    <col min="13315" max="13315" width="12.44140625" style="43" customWidth="1"/>
    <col min="13316" max="13316" width="25" style="43" customWidth="1"/>
    <col min="13317" max="13317" width="13.88671875" style="43" customWidth="1"/>
    <col min="13318" max="13318" width="62.33203125" style="43" customWidth="1"/>
    <col min="13319" max="13319" width="26.33203125" style="43" customWidth="1"/>
    <col min="13320" max="13320" width="27.6640625" style="43" customWidth="1"/>
    <col min="13321" max="13321" width="27.109375" style="43" customWidth="1"/>
    <col min="13322" max="13322" width="20" style="43" customWidth="1"/>
    <col min="13323" max="13323" width="14.33203125" style="43" customWidth="1"/>
    <col min="13324" max="13382" width="10.6640625" style="43" customWidth="1"/>
    <col min="13383" max="13383" width="38.88671875" style="43" customWidth="1"/>
    <col min="13384" max="13387" width="0" style="43" hidden="1" customWidth="1"/>
    <col min="13388" max="13568" width="11.44140625" style="43"/>
    <col min="13569" max="13569" width="35.5546875" style="43" customWidth="1"/>
    <col min="13570" max="13570" width="19.33203125" style="43" customWidth="1"/>
    <col min="13571" max="13571" width="12.44140625" style="43" customWidth="1"/>
    <col min="13572" max="13572" width="25" style="43" customWidth="1"/>
    <col min="13573" max="13573" width="13.88671875" style="43" customWidth="1"/>
    <col min="13574" max="13574" width="62.33203125" style="43" customWidth="1"/>
    <col min="13575" max="13575" width="26.33203125" style="43" customWidth="1"/>
    <col min="13576" max="13576" width="27.6640625" style="43" customWidth="1"/>
    <col min="13577" max="13577" width="27.109375" style="43" customWidth="1"/>
    <col min="13578" max="13578" width="20" style="43" customWidth="1"/>
    <col min="13579" max="13579" width="14.33203125" style="43" customWidth="1"/>
    <col min="13580" max="13638" width="10.6640625" style="43" customWidth="1"/>
    <col min="13639" max="13639" width="38.88671875" style="43" customWidth="1"/>
    <col min="13640" max="13643" width="0" style="43" hidden="1" customWidth="1"/>
    <col min="13644" max="13824" width="11.44140625" style="43"/>
    <col min="13825" max="13825" width="35.5546875" style="43" customWidth="1"/>
    <col min="13826" max="13826" width="19.33203125" style="43" customWidth="1"/>
    <col min="13827" max="13827" width="12.44140625" style="43" customWidth="1"/>
    <col min="13828" max="13828" width="25" style="43" customWidth="1"/>
    <col min="13829" max="13829" width="13.88671875" style="43" customWidth="1"/>
    <col min="13830" max="13830" width="62.33203125" style="43" customWidth="1"/>
    <col min="13831" max="13831" width="26.33203125" style="43" customWidth="1"/>
    <col min="13832" max="13832" width="27.6640625" style="43" customWidth="1"/>
    <col min="13833" max="13833" width="27.109375" style="43" customWidth="1"/>
    <col min="13834" max="13834" width="20" style="43" customWidth="1"/>
    <col min="13835" max="13835" width="14.33203125" style="43" customWidth="1"/>
    <col min="13836" max="13894" width="10.6640625" style="43" customWidth="1"/>
    <col min="13895" max="13895" width="38.88671875" style="43" customWidth="1"/>
    <col min="13896" max="13899" width="0" style="43" hidden="1" customWidth="1"/>
    <col min="13900" max="14080" width="11.44140625" style="43"/>
    <col min="14081" max="14081" width="35.5546875" style="43" customWidth="1"/>
    <col min="14082" max="14082" width="19.33203125" style="43" customWidth="1"/>
    <col min="14083" max="14083" width="12.44140625" style="43" customWidth="1"/>
    <col min="14084" max="14084" width="25" style="43" customWidth="1"/>
    <col min="14085" max="14085" width="13.88671875" style="43" customWidth="1"/>
    <col min="14086" max="14086" width="62.33203125" style="43" customWidth="1"/>
    <col min="14087" max="14087" width="26.33203125" style="43" customWidth="1"/>
    <col min="14088" max="14088" width="27.6640625" style="43" customWidth="1"/>
    <col min="14089" max="14089" width="27.109375" style="43" customWidth="1"/>
    <col min="14090" max="14090" width="20" style="43" customWidth="1"/>
    <col min="14091" max="14091" width="14.33203125" style="43" customWidth="1"/>
    <col min="14092" max="14150" width="10.6640625" style="43" customWidth="1"/>
    <col min="14151" max="14151" width="38.88671875" style="43" customWidth="1"/>
    <col min="14152" max="14155" width="0" style="43" hidden="1" customWidth="1"/>
    <col min="14156" max="14336" width="11.44140625" style="43"/>
    <col min="14337" max="14337" width="35.5546875" style="43" customWidth="1"/>
    <col min="14338" max="14338" width="19.33203125" style="43" customWidth="1"/>
    <col min="14339" max="14339" width="12.44140625" style="43" customWidth="1"/>
    <col min="14340" max="14340" width="25" style="43" customWidth="1"/>
    <col min="14341" max="14341" width="13.88671875" style="43" customWidth="1"/>
    <col min="14342" max="14342" width="62.33203125" style="43" customWidth="1"/>
    <col min="14343" max="14343" width="26.33203125" style="43" customWidth="1"/>
    <col min="14344" max="14344" width="27.6640625" style="43" customWidth="1"/>
    <col min="14345" max="14345" width="27.109375" style="43" customWidth="1"/>
    <col min="14346" max="14346" width="20" style="43" customWidth="1"/>
    <col min="14347" max="14347" width="14.33203125" style="43" customWidth="1"/>
    <col min="14348" max="14406" width="10.6640625" style="43" customWidth="1"/>
    <col min="14407" max="14407" width="38.88671875" style="43" customWidth="1"/>
    <col min="14408" max="14411" width="0" style="43" hidden="1" customWidth="1"/>
    <col min="14412" max="14592" width="11.44140625" style="43"/>
    <col min="14593" max="14593" width="35.5546875" style="43" customWidth="1"/>
    <col min="14594" max="14594" width="19.33203125" style="43" customWidth="1"/>
    <col min="14595" max="14595" width="12.44140625" style="43" customWidth="1"/>
    <col min="14596" max="14596" width="25" style="43" customWidth="1"/>
    <col min="14597" max="14597" width="13.88671875" style="43" customWidth="1"/>
    <col min="14598" max="14598" width="62.33203125" style="43" customWidth="1"/>
    <col min="14599" max="14599" width="26.33203125" style="43" customWidth="1"/>
    <col min="14600" max="14600" width="27.6640625" style="43" customWidth="1"/>
    <col min="14601" max="14601" width="27.109375" style="43" customWidth="1"/>
    <col min="14602" max="14602" width="20" style="43" customWidth="1"/>
    <col min="14603" max="14603" width="14.33203125" style="43" customWidth="1"/>
    <col min="14604" max="14662" width="10.6640625" style="43" customWidth="1"/>
    <col min="14663" max="14663" width="38.88671875" style="43" customWidth="1"/>
    <col min="14664" max="14667" width="0" style="43" hidden="1" customWidth="1"/>
    <col min="14668" max="14848" width="11.44140625" style="43"/>
    <col min="14849" max="14849" width="35.5546875" style="43" customWidth="1"/>
    <col min="14850" max="14850" width="19.33203125" style="43" customWidth="1"/>
    <col min="14851" max="14851" width="12.44140625" style="43" customWidth="1"/>
    <col min="14852" max="14852" width="25" style="43" customWidth="1"/>
    <col min="14853" max="14853" width="13.88671875" style="43" customWidth="1"/>
    <col min="14854" max="14854" width="62.33203125" style="43" customWidth="1"/>
    <col min="14855" max="14855" width="26.33203125" style="43" customWidth="1"/>
    <col min="14856" max="14856" width="27.6640625" style="43" customWidth="1"/>
    <col min="14857" max="14857" width="27.109375" style="43" customWidth="1"/>
    <col min="14858" max="14858" width="20" style="43" customWidth="1"/>
    <col min="14859" max="14859" width="14.33203125" style="43" customWidth="1"/>
    <col min="14860" max="14918" width="10.6640625" style="43" customWidth="1"/>
    <col min="14919" max="14919" width="38.88671875" style="43" customWidth="1"/>
    <col min="14920" max="14923" width="0" style="43" hidden="1" customWidth="1"/>
    <col min="14924" max="15104" width="11.44140625" style="43"/>
    <col min="15105" max="15105" width="35.5546875" style="43" customWidth="1"/>
    <col min="15106" max="15106" width="19.33203125" style="43" customWidth="1"/>
    <col min="15107" max="15107" width="12.44140625" style="43" customWidth="1"/>
    <col min="15108" max="15108" width="25" style="43" customWidth="1"/>
    <col min="15109" max="15109" width="13.88671875" style="43" customWidth="1"/>
    <col min="15110" max="15110" width="62.33203125" style="43" customWidth="1"/>
    <col min="15111" max="15111" width="26.33203125" style="43" customWidth="1"/>
    <col min="15112" max="15112" width="27.6640625" style="43" customWidth="1"/>
    <col min="15113" max="15113" width="27.109375" style="43" customWidth="1"/>
    <col min="15114" max="15114" width="20" style="43" customWidth="1"/>
    <col min="15115" max="15115" width="14.33203125" style="43" customWidth="1"/>
    <col min="15116" max="15174" width="10.6640625" style="43" customWidth="1"/>
    <col min="15175" max="15175" width="38.88671875" style="43" customWidth="1"/>
    <col min="15176" max="15179" width="0" style="43" hidden="1" customWidth="1"/>
    <col min="15180" max="15360" width="11.44140625" style="43"/>
    <col min="15361" max="15361" width="35.5546875" style="43" customWidth="1"/>
    <col min="15362" max="15362" width="19.33203125" style="43" customWidth="1"/>
    <col min="15363" max="15363" width="12.44140625" style="43" customWidth="1"/>
    <col min="15364" max="15364" width="25" style="43" customWidth="1"/>
    <col min="15365" max="15365" width="13.88671875" style="43" customWidth="1"/>
    <col min="15366" max="15366" width="62.33203125" style="43" customWidth="1"/>
    <col min="15367" max="15367" width="26.33203125" style="43" customWidth="1"/>
    <col min="15368" max="15368" width="27.6640625" style="43" customWidth="1"/>
    <col min="15369" max="15369" width="27.109375" style="43" customWidth="1"/>
    <col min="15370" max="15370" width="20" style="43" customWidth="1"/>
    <col min="15371" max="15371" width="14.33203125" style="43" customWidth="1"/>
    <col min="15372" max="15430" width="10.6640625" style="43" customWidth="1"/>
    <col min="15431" max="15431" width="38.88671875" style="43" customWidth="1"/>
    <col min="15432" max="15435" width="0" style="43" hidden="1" customWidth="1"/>
    <col min="15436" max="15616" width="11.44140625" style="43"/>
    <col min="15617" max="15617" width="35.5546875" style="43" customWidth="1"/>
    <col min="15618" max="15618" width="19.33203125" style="43" customWidth="1"/>
    <col min="15619" max="15619" width="12.44140625" style="43" customWidth="1"/>
    <col min="15620" max="15620" width="25" style="43" customWidth="1"/>
    <col min="15621" max="15621" width="13.88671875" style="43" customWidth="1"/>
    <col min="15622" max="15622" width="62.33203125" style="43" customWidth="1"/>
    <col min="15623" max="15623" width="26.33203125" style="43" customWidth="1"/>
    <col min="15624" max="15624" width="27.6640625" style="43" customWidth="1"/>
    <col min="15625" max="15625" width="27.109375" style="43" customWidth="1"/>
    <col min="15626" max="15626" width="20" style="43" customWidth="1"/>
    <col min="15627" max="15627" width="14.33203125" style="43" customWidth="1"/>
    <col min="15628" max="15686" width="10.6640625" style="43" customWidth="1"/>
    <col min="15687" max="15687" width="38.88671875" style="43" customWidth="1"/>
    <col min="15688" max="15691" width="0" style="43" hidden="1" customWidth="1"/>
    <col min="15692" max="15872" width="11.44140625" style="43"/>
    <col min="15873" max="15873" width="35.5546875" style="43" customWidth="1"/>
    <col min="15874" max="15874" width="19.33203125" style="43" customWidth="1"/>
    <col min="15875" max="15875" width="12.44140625" style="43" customWidth="1"/>
    <col min="15876" max="15876" width="25" style="43" customWidth="1"/>
    <col min="15877" max="15877" width="13.88671875" style="43" customWidth="1"/>
    <col min="15878" max="15878" width="62.33203125" style="43" customWidth="1"/>
    <col min="15879" max="15879" width="26.33203125" style="43" customWidth="1"/>
    <col min="15880" max="15880" width="27.6640625" style="43" customWidth="1"/>
    <col min="15881" max="15881" width="27.109375" style="43" customWidth="1"/>
    <col min="15882" max="15882" width="20" style="43" customWidth="1"/>
    <col min="15883" max="15883" width="14.33203125" style="43" customWidth="1"/>
    <col min="15884" max="15942" width="10.6640625" style="43" customWidth="1"/>
    <col min="15943" max="15943" width="38.88671875" style="43" customWidth="1"/>
    <col min="15944" max="15947" width="0" style="43" hidden="1" customWidth="1"/>
    <col min="15948" max="16128" width="11.44140625" style="43"/>
    <col min="16129" max="16129" width="35.5546875" style="43" customWidth="1"/>
    <col min="16130" max="16130" width="19.33203125" style="43" customWidth="1"/>
    <col min="16131" max="16131" width="12.44140625" style="43" customWidth="1"/>
    <col min="16132" max="16132" width="25" style="43" customWidth="1"/>
    <col min="16133" max="16133" width="13.88671875" style="43" customWidth="1"/>
    <col min="16134" max="16134" width="62.33203125" style="43" customWidth="1"/>
    <col min="16135" max="16135" width="26.33203125" style="43" customWidth="1"/>
    <col min="16136" max="16136" width="27.6640625" style="43" customWidth="1"/>
    <col min="16137" max="16137" width="27.109375" style="43" customWidth="1"/>
    <col min="16138" max="16138" width="20" style="43" customWidth="1"/>
    <col min="16139" max="16139" width="14.33203125" style="43" customWidth="1"/>
    <col min="16140" max="16198" width="10.6640625" style="43" customWidth="1"/>
    <col min="16199" max="16199" width="38.88671875" style="43" customWidth="1"/>
    <col min="16200" max="16203" width="0" style="43" hidden="1" customWidth="1"/>
    <col min="16204" max="16384" width="11.44140625" style="43"/>
  </cols>
  <sheetData>
    <row r="1" spans="1:75" ht="6.75" customHeight="1" thickBot="1"/>
    <row r="2" spans="1:75" ht="30.75" customHeight="1" thickBot="1">
      <c r="A2" s="1257" t="s">
        <v>191</v>
      </c>
      <c r="B2" s="1258"/>
      <c r="C2" s="1258"/>
      <c r="D2" s="1258"/>
      <c r="E2" s="1258"/>
      <c r="F2" s="1258"/>
      <c r="G2" s="1258"/>
      <c r="H2" s="1258"/>
      <c r="I2" s="1258"/>
      <c r="J2" s="1258"/>
      <c r="K2" s="1258"/>
      <c r="L2" s="1258"/>
      <c r="M2" s="1258"/>
      <c r="N2" s="1258"/>
      <c r="O2" s="1258"/>
      <c r="P2" s="1258"/>
      <c r="Q2" s="1258"/>
      <c r="R2" s="1258"/>
      <c r="S2" s="1258"/>
      <c r="T2" s="1258"/>
      <c r="U2" s="1258"/>
      <c r="V2" s="1258"/>
      <c r="W2" s="1258"/>
      <c r="X2" s="1258"/>
      <c r="Y2" s="1258"/>
      <c r="Z2" s="1258"/>
      <c r="AA2" s="1258"/>
      <c r="AB2" s="1258"/>
      <c r="AC2" s="1258"/>
      <c r="AD2" s="1258"/>
      <c r="AE2" s="1258"/>
      <c r="AF2" s="1258"/>
      <c r="AG2" s="1258"/>
      <c r="AH2" s="1258"/>
      <c r="AI2" s="1258"/>
      <c r="AJ2" s="1258"/>
      <c r="AK2" s="1258"/>
      <c r="AL2" s="1258"/>
      <c r="AM2" s="1258"/>
      <c r="AN2" s="1258"/>
      <c r="AO2" s="1258"/>
      <c r="AP2" s="1258"/>
      <c r="AQ2" s="1258"/>
      <c r="AR2" s="1258"/>
      <c r="AS2" s="1258"/>
      <c r="AT2" s="1258"/>
      <c r="AU2" s="1258"/>
      <c r="AV2" s="1258"/>
      <c r="AW2" s="1258"/>
      <c r="AX2" s="1258"/>
      <c r="AY2" s="1258"/>
      <c r="AZ2" s="1258"/>
      <c r="BA2" s="1258"/>
      <c r="BB2" s="1258"/>
      <c r="BC2" s="1258"/>
      <c r="BD2" s="1258"/>
      <c r="BE2" s="1258"/>
      <c r="BF2" s="1258"/>
      <c r="BG2" s="1258"/>
      <c r="BH2" s="1258"/>
      <c r="BI2" s="1258"/>
      <c r="BJ2" s="1258"/>
      <c r="BK2" s="1258"/>
      <c r="BL2" s="1258"/>
      <c r="BM2" s="1258"/>
      <c r="BN2" s="1258"/>
      <c r="BO2" s="1258"/>
      <c r="BP2" s="1258"/>
      <c r="BQ2" s="1258"/>
      <c r="BR2" s="1258"/>
      <c r="BS2" s="1259"/>
    </row>
    <row r="3" spans="1:75" ht="17.25" customHeight="1" thickBot="1">
      <c r="A3" s="203" t="s">
        <v>192</v>
      </c>
      <c r="B3" s="1260" t="s">
        <v>193</v>
      </c>
      <c r="C3" s="1261"/>
      <c r="D3" s="1262"/>
      <c r="E3" s="204" t="s">
        <v>194</v>
      </c>
      <c r="F3" s="1266" t="s">
        <v>195</v>
      </c>
      <c r="G3" s="1268" t="s">
        <v>196</v>
      </c>
      <c r="H3" s="1269"/>
      <c r="I3" s="1269"/>
      <c r="J3" s="1269"/>
      <c r="K3" s="1269"/>
      <c r="L3" s="1270"/>
      <c r="M3" s="1271" t="s">
        <v>197</v>
      </c>
      <c r="AF3" s="1273" t="s">
        <v>198</v>
      </c>
      <c r="AG3" s="1274"/>
      <c r="AH3" s="1274"/>
      <c r="AI3" s="1274"/>
      <c r="AJ3" s="1274"/>
      <c r="AK3" s="1274"/>
      <c r="AL3" s="1274"/>
      <c r="AM3" s="1275"/>
      <c r="AO3" s="1273" t="s">
        <v>199</v>
      </c>
      <c r="AP3" s="1274"/>
      <c r="AQ3" s="1274"/>
      <c r="AR3" s="1274"/>
      <c r="AS3" s="1274"/>
      <c r="AT3" s="1274"/>
      <c r="AU3" s="1274"/>
      <c r="AV3" s="1275"/>
      <c r="AX3" s="1273" t="s">
        <v>200</v>
      </c>
      <c r="AY3" s="1274"/>
      <c r="AZ3" s="1274"/>
      <c r="BA3" s="1274"/>
      <c r="BB3" s="1274"/>
      <c r="BC3" s="1274"/>
      <c r="BD3" s="1274"/>
      <c r="BE3" s="1275"/>
      <c r="BG3" s="1273" t="s">
        <v>201</v>
      </c>
      <c r="BH3" s="1274"/>
      <c r="BI3" s="1274"/>
      <c r="BJ3" s="1274"/>
      <c r="BK3" s="1274"/>
      <c r="BL3" s="1274"/>
      <c r="BM3" s="1274"/>
      <c r="BN3" s="1275"/>
      <c r="BR3" s="1276" t="s">
        <v>202</v>
      </c>
      <c r="BS3" s="1277"/>
    </row>
    <row r="4" spans="1:75" ht="17.25" customHeight="1" thickBot="1">
      <c r="A4" s="205" t="s">
        <v>203</v>
      </c>
      <c r="B4" s="1263"/>
      <c r="C4" s="1264"/>
      <c r="D4" s="1265"/>
      <c r="E4" s="206" t="s">
        <v>204</v>
      </c>
      <c r="F4" s="1267"/>
      <c r="G4" s="1278" t="s">
        <v>205</v>
      </c>
      <c r="H4" s="1279"/>
      <c r="I4" s="1278" t="s">
        <v>206</v>
      </c>
      <c r="J4" s="1280"/>
      <c r="K4" s="1280"/>
      <c r="L4" s="1279"/>
      <c r="M4" s="1272"/>
      <c r="N4" s="207">
        <v>1</v>
      </c>
      <c r="O4" s="207">
        <v>2</v>
      </c>
      <c r="P4" s="207">
        <v>3</v>
      </c>
      <c r="Q4" s="207">
        <v>4</v>
      </c>
      <c r="R4" s="208">
        <v>4.0999999999999996</v>
      </c>
      <c r="S4" s="208">
        <v>4.2</v>
      </c>
      <c r="T4" s="208">
        <v>4.3</v>
      </c>
      <c r="U4" s="207">
        <v>5</v>
      </c>
      <c r="V4" s="208">
        <v>5.0999999999999996</v>
      </c>
      <c r="W4" s="208">
        <v>5.2</v>
      </c>
      <c r="X4" s="208">
        <v>5.3</v>
      </c>
      <c r="Y4" s="207">
        <v>6</v>
      </c>
      <c r="Z4" s="208">
        <v>6.1</v>
      </c>
      <c r="AA4" s="208">
        <v>6.2</v>
      </c>
      <c r="AB4" s="208">
        <v>6.3</v>
      </c>
      <c r="AC4" s="207">
        <v>7</v>
      </c>
      <c r="AD4" s="207">
        <v>8</v>
      </c>
      <c r="AF4" s="209">
        <f t="shared" ref="AF4:AI19" si="0">N4</f>
        <v>1</v>
      </c>
      <c r="AG4" s="210">
        <f t="shared" si="0"/>
        <v>2</v>
      </c>
      <c r="AH4" s="210">
        <f t="shared" si="0"/>
        <v>3</v>
      </c>
      <c r="AI4" s="210">
        <f t="shared" si="0"/>
        <v>4</v>
      </c>
      <c r="AJ4" s="210">
        <f t="shared" ref="AJ4:AJ20" si="1">U4</f>
        <v>5</v>
      </c>
      <c r="AK4" s="211">
        <f t="shared" ref="AK4:AK20" si="2">AD4</f>
        <v>8</v>
      </c>
      <c r="AL4" s="212" t="s">
        <v>207</v>
      </c>
      <c r="AM4" s="213" t="s">
        <v>208</v>
      </c>
      <c r="AO4" s="209">
        <f t="shared" ref="AO4:AR19" si="3">N4</f>
        <v>1</v>
      </c>
      <c r="AP4" s="210">
        <f t="shared" si="3"/>
        <v>2</v>
      </c>
      <c r="AQ4" s="210">
        <f t="shared" si="3"/>
        <v>3</v>
      </c>
      <c r="AR4" s="210">
        <v>4</v>
      </c>
      <c r="AS4" s="210">
        <f t="shared" ref="AS4:AS20" si="4">U4</f>
        <v>5</v>
      </c>
      <c r="AT4" s="211">
        <f t="shared" ref="AT4:AT20" si="5">AD4</f>
        <v>8</v>
      </c>
      <c r="AU4" s="212" t="s">
        <v>207</v>
      </c>
      <c r="AV4" s="214" t="s">
        <v>208</v>
      </c>
      <c r="AX4" s="209">
        <f t="shared" ref="AX4:AX20" si="6">N4</f>
        <v>1</v>
      </c>
      <c r="AY4" s="210">
        <f t="shared" ref="AY4:BA20" si="7">AG4</f>
        <v>2</v>
      </c>
      <c r="AZ4" s="210">
        <f t="shared" si="7"/>
        <v>3</v>
      </c>
      <c r="BA4" s="210">
        <f t="shared" si="7"/>
        <v>4</v>
      </c>
      <c r="BB4" s="210">
        <f t="shared" ref="BB4:BB20" si="8">Y4</f>
        <v>6</v>
      </c>
      <c r="BC4" s="210">
        <f t="shared" ref="BC4:BC20" si="9">AT4</f>
        <v>8</v>
      </c>
      <c r="BD4" s="215" t="s">
        <v>207</v>
      </c>
      <c r="BE4" s="216" t="s">
        <v>208</v>
      </c>
      <c r="BG4" s="217">
        <f t="shared" ref="BG4:BH20" si="10">N4</f>
        <v>1</v>
      </c>
      <c r="BH4" s="217">
        <f t="shared" si="10"/>
        <v>2</v>
      </c>
      <c r="BI4" s="217">
        <f t="shared" ref="BI4:BJ20" si="11">AQ4</f>
        <v>3</v>
      </c>
      <c r="BJ4" s="217">
        <f t="shared" si="11"/>
        <v>4</v>
      </c>
      <c r="BK4" s="217">
        <f t="shared" ref="BK4:BK20" si="12">Y4</f>
        <v>6</v>
      </c>
      <c r="BL4" s="217">
        <f t="shared" ref="BL4:BL20" si="13">AD4</f>
        <v>8</v>
      </c>
      <c r="BM4" s="215" t="s">
        <v>207</v>
      </c>
      <c r="BN4" s="218" t="s">
        <v>208</v>
      </c>
      <c r="BR4" s="219" t="s">
        <v>209</v>
      </c>
      <c r="BS4" s="220" t="s">
        <v>210</v>
      </c>
    </row>
    <row r="5" spans="1:75" ht="17.25" customHeight="1">
      <c r="A5" s="1243" t="s">
        <v>211</v>
      </c>
      <c r="B5" s="221"/>
      <c r="C5" s="222"/>
      <c r="D5" s="223"/>
      <c r="E5" s="1245" t="s">
        <v>128</v>
      </c>
      <c r="F5" s="1247" t="s">
        <v>212</v>
      </c>
      <c r="G5" s="1249" t="s">
        <v>213</v>
      </c>
      <c r="H5" s="1251" t="s">
        <v>214</v>
      </c>
      <c r="I5" s="1253" t="s">
        <v>215</v>
      </c>
      <c r="J5" s="224"/>
      <c r="K5" s="225"/>
      <c r="L5" s="226" t="s">
        <v>216</v>
      </c>
      <c r="M5" s="227" t="s">
        <v>143</v>
      </c>
      <c r="N5" s="228">
        <f>IF(C90&lt;50,1,0)</f>
        <v>1</v>
      </c>
      <c r="O5" s="229">
        <f>IF((B82/2)&lt;C89,1,0)</f>
        <v>0</v>
      </c>
      <c r="P5" s="228">
        <f>IF(C95&gt;=4,1,0)</f>
        <v>1</v>
      </c>
      <c r="Q5" s="229">
        <f>IF(T5=2,1,0)</f>
        <v>1</v>
      </c>
      <c r="R5" s="202">
        <f>IF(C96&gt;=1,1,0)</f>
        <v>1</v>
      </c>
      <c r="S5" s="202">
        <f>IF(C96&lt;=3,1,0)</f>
        <v>1</v>
      </c>
      <c r="T5" s="202">
        <f>R5+S5</f>
        <v>2</v>
      </c>
      <c r="U5" s="229">
        <f>IF(C90&lt;5,1,0)</f>
        <v>0</v>
      </c>
      <c r="V5" s="229" t="s">
        <v>217</v>
      </c>
      <c r="W5" s="229" t="s">
        <v>217</v>
      </c>
      <c r="X5" s="229" t="s">
        <v>217</v>
      </c>
      <c r="Y5" s="229">
        <f t="shared" ref="Y5:Y20" si="14">IF(AB5=2,1,0)</f>
        <v>0</v>
      </c>
      <c r="Z5" s="202">
        <f>IF(C90&gt;=5,1,0)</f>
        <v>1</v>
      </c>
      <c r="AA5" s="202">
        <f>IF(C90&lt;=12,1,0)</f>
        <v>0</v>
      </c>
      <c r="AB5" s="202">
        <f t="shared" ref="AB5:AB20" si="15">Z5+AA5</f>
        <v>1</v>
      </c>
      <c r="AC5" s="230" t="s">
        <v>217</v>
      </c>
      <c r="AD5" s="230">
        <f>IF(C85&lt;15,1,0)</f>
        <v>0</v>
      </c>
      <c r="AF5" s="231">
        <f t="shared" si="0"/>
        <v>1</v>
      </c>
      <c r="AG5" s="202">
        <f t="shared" si="0"/>
        <v>0</v>
      </c>
      <c r="AH5" s="202">
        <f t="shared" si="0"/>
        <v>1</v>
      </c>
      <c r="AI5" s="202">
        <f t="shared" si="0"/>
        <v>1</v>
      </c>
      <c r="AJ5" s="202">
        <f t="shared" si="1"/>
        <v>0</v>
      </c>
      <c r="AK5" s="232">
        <f t="shared" si="2"/>
        <v>0</v>
      </c>
      <c r="AL5" s="233">
        <f t="shared" ref="AL5:AL20" si="16">SUM(AF5:AK5)</f>
        <v>3</v>
      </c>
      <c r="AM5" s="234" t="str">
        <f>IF(AL5=6,E5,"")</f>
        <v/>
      </c>
      <c r="AN5" s="235">
        <f t="shared" ref="AN5:AN20" si="17">IF(AM5="",0,1)</f>
        <v>0</v>
      </c>
      <c r="AO5" s="236">
        <f t="shared" si="3"/>
        <v>1</v>
      </c>
      <c r="AP5" s="228">
        <f t="shared" si="3"/>
        <v>0</v>
      </c>
      <c r="AQ5" s="228">
        <f t="shared" si="3"/>
        <v>1</v>
      </c>
      <c r="AR5" s="228">
        <f t="shared" si="3"/>
        <v>1</v>
      </c>
      <c r="AS5" s="228">
        <f t="shared" si="4"/>
        <v>0</v>
      </c>
      <c r="AT5" s="237">
        <f t="shared" si="5"/>
        <v>0</v>
      </c>
      <c r="AU5" s="238">
        <f t="shared" ref="AU5:AU20" si="18">SUM(AO5:AT5)</f>
        <v>3</v>
      </c>
      <c r="AV5" s="239" t="str">
        <f>IF(AU5=6,E5,"")</f>
        <v/>
      </c>
      <c r="AW5" s="235">
        <f t="shared" ref="AW5:AW20" si="19">IF(AV5="",0,1)</f>
        <v>0</v>
      </c>
      <c r="AX5" s="231">
        <f t="shared" si="6"/>
        <v>1</v>
      </c>
      <c r="AY5" s="202">
        <f t="shared" si="7"/>
        <v>0</v>
      </c>
      <c r="AZ5" s="202">
        <f t="shared" si="7"/>
        <v>1</v>
      </c>
      <c r="BA5" s="202">
        <f t="shared" si="7"/>
        <v>1</v>
      </c>
      <c r="BB5" s="202">
        <f t="shared" si="8"/>
        <v>0</v>
      </c>
      <c r="BC5" s="202">
        <f t="shared" si="9"/>
        <v>0</v>
      </c>
      <c r="BD5" s="240">
        <f t="shared" ref="BD5:BD20" si="20">SUM(AX5:BC5)</f>
        <v>3</v>
      </c>
      <c r="BE5" s="241" t="str">
        <f>IF(BD5=6,E5,"")</f>
        <v/>
      </c>
      <c r="BF5" s="235">
        <f t="shared" ref="BF5:BF20" si="21">IF(BE5="",0,1)</f>
        <v>0</v>
      </c>
      <c r="BG5" s="236">
        <f t="shared" si="10"/>
        <v>1</v>
      </c>
      <c r="BH5" s="228">
        <f t="shared" si="10"/>
        <v>0</v>
      </c>
      <c r="BI5" s="228">
        <f t="shared" si="11"/>
        <v>1</v>
      </c>
      <c r="BJ5" s="228">
        <f t="shared" si="11"/>
        <v>1</v>
      </c>
      <c r="BK5" s="228">
        <f t="shared" si="12"/>
        <v>0</v>
      </c>
      <c r="BL5" s="237">
        <f t="shared" si="13"/>
        <v>0</v>
      </c>
      <c r="BM5" s="242">
        <f t="shared" ref="BM5:BM20" si="22">SUM(BG5:BL5)</f>
        <v>3</v>
      </c>
      <c r="BN5" s="243" t="str">
        <f>IF(BM5=6,E5,"")</f>
        <v/>
      </c>
      <c r="BO5" s="235">
        <f t="shared" ref="BO5:BO20" si="23">IF(BN5="",0,1)</f>
        <v>0</v>
      </c>
      <c r="BP5" s="235"/>
      <c r="BQ5" s="244">
        <f t="shared" ref="BQ5:BQ20" si="24">AN5+AW5+BF5+BO5</f>
        <v>0</v>
      </c>
      <c r="BR5" s="245" t="str">
        <f>IF(BQ5=0,"",E5)</f>
        <v/>
      </c>
      <c r="BS5" s="246" t="str">
        <f t="shared" ref="BS5:BS20" si="25">IF(BQ5=0,"",M5)</f>
        <v/>
      </c>
      <c r="BT5" s="230">
        <f t="shared" ref="BT5:BT68" si="26">IF(BR5="",0,1)</f>
        <v>0</v>
      </c>
      <c r="BU5" s="1286">
        <f>BT5+BT6</f>
        <v>0</v>
      </c>
      <c r="BV5" s="1281">
        <f>IF(BW5="",0,1)</f>
        <v>0</v>
      </c>
      <c r="BW5" s="1282" t="str">
        <f>IF(BU5=0,"",E5)</f>
        <v/>
      </c>
    </row>
    <row r="6" spans="1:75" ht="17.25" customHeight="1">
      <c r="A6" s="1241"/>
      <c r="B6" s="223"/>
      <c r="C6" s="222"/>
      <c r="D6" s="247"/>
      <c r="E6" s="1246"/>
      <c r="F6" s="1248"/>
      <c r="G6" s="1250"/>
      <c r="H6" s="1252"/>
      <c r="I6" s="1254"/>
      <c r="J6" s="224"/>
      <c r="K6" s="225"/>
      <c r="L6" s="226" t="s">
        <v>218</v>
      </c>
      <c r="M6" s="248" t="s">
        <v>144</v>
      </c>
      <c r="N6" s="202">
        <f>IF(C90&lt;50,1,0)</f>
        <v>1</v>
      </c>
      <c r="O6" s="249">
        <f>IF((B82/2)&lt;C89,1,0)</f>
        <v>0</v>
      </c>
      <c r="P6" s="250">
        <f>IF(C95&gt;=4,1,0)</f>
        <v>1</v>
      </c>
      <c r="Q6" s="251">
        <f>IF(T6=2,1,0)</f>
        <v>1</v>
      </c>
      <c r="R6" s="202">
        <f>IF(C96&gt;=1,1,0)</f>
        <v>1</v>
      </c>
      <c r="S6" s="202">
        <f>IF(C96&lt;=3,1,0)</f>
        <v>1</v>
      </c>
      <c r="T6" s="202">
        <f>R6+S6</f>
        <v>2</v>
      </c>
      <c r="U6" s="251">
        <f>IF(C90&lt;5,1,0)</f>
        <v>0</v>
      </c>
      <c r="V6" s="249" t="s">
        <v>217</v>
      </c>
      <c r="W6" s="249" t="s">
        <v>217</v>
      </c>
      <c r="X6" s="249" t="s">
        <v>217</v>
      </c>
      <c r="Y6" s="249">
        <f t="shared" si="14"/>
        <v>0</v>
      </c>
      <c r="Z6" s="202">
        <f>IF(C90&gt;=5,1,0)</f>
        <v>1</v>
      </c>
      <c r="AA6" s="202">
        <f>IF(C90&lt;=12,1,0)</f>
        <v>0</v>
      </c>
      <c r="AB6" s="202">
        <f t="shared" si="15"/>
        <v>1</v>
      </c>
      <c r="AC6" s="230" t="s">
        <v>217</v>
      </c>
      <c r="AD6" s="230">
        <f>IF(C85&gt;=15,1,0)</f>
        <v>1</v>
      </c>
      <c r="AF6" s="231">
        <f t="shared" si="0"/>
        <v>1</v>
      </c>
      <c r="AG6" s="202">
        <f t="shared" si="0"/>
        <v>0</v>
      </c>
      <c r="AH6" s="202">
        <f t="shared" si="0"/>
        <v>1</v>
      </c>
      <c r="AI6" s="202">
        <f t="shared" si="0"/>
        <v>1</v>
      </c>
      <c r="AJ6" s="202">
        <f t="shared" si="1"/>
        <v>0</v>
      </c>
      <c r="AK6" s="232">
        <f t="shared" si="2"/>
        <v>1</v>
      </c>
      <c r="AL6" s="233">
        <f t="shared" si="16"/>
        <v>4</v>
      </c>
      <c r="AM6" s="234" t="str">
        <f>IF(AL6=6,E5,"")</f>
        <v/>
      </c>
      <c r="AN6" s="235">
        <f t="shared" si="17"/>
        <v>0</v>
      </c>
      <c r="AO6" s="231">
        <f t="shared" si="3"/>
        <v>1</v>
      </c>
      <c r="AP6" s="202">
        <f t="shared" si="3"/>
        <v>0</v>
      </c>
      <c r="AQ6" s="202">
        <f t="shared" si="3"/>
        <v>1</v>
      </c>
      <c r="AR6" s="202">
        <f t="shared" si="3"/>
        <v>1</v>
      </c>
      <c r="AS6" s="202">
        <f t="shared" si="4"/>
        <v>0</v>
      </c>
      <c r="AT6" s="232">
        <f t="shared" si="5"/>
        <v>1</v>
      </c>
      <c r="AU6" s="233">
        <f t="shared" si="18"/>
        <v>4</v>
      </c>
      <c r="AV6" s="252" t="str">
        <f>IF(AU6=6,E5,"")</f>
        <v/>
      </c>
      <c r="AW6" s="235">
        <f t="shared" si="19"/>
        <v>0</v>
      </c>
      <c r="AX6" s="231">
        <f t="shared" si="6"/>
        <v>1</v>
      </c>
      <c r="AY6" s="202">
        <f t="shared" si="7"/>
        <v>0</v>
      </c>
      <c r="AZ6" s="202">
        <f t="shared" si="7"/>
        <v>1</v>
      </c>
      <c r="BA6" s="202">
        <f t="shared" si="7"/>
        <v>1</v>
      </c>
      <c r="BB6" s="202">
        <f t="shared" si="8"/>
        <v>0</v>
      </c>
      <c r="BC6" s="202">
        <f t="shared" si="9"/>
        <v>1</v>
      </c>
      <c r="BD6" s="240">
        <f t="shared" si="20"/>
        <v>4</v>
      </c>
      <c r="BE6" s="253" t="str">
        <f>IF(BD6=6,E5,"")</f>
        <v/>
      </c>
      <c r="BF6" s="235">
        <f t="shared" si="21"/>
        <v>0</v>
      </c>
      <c r="BG6" s="254">
        <f t="shared" si="10"/>
        <v>1</v>
      </c>
      <c r="BH6" s="250">
        <f t="shared" si="10"/>
        <v>0</v>
      </c>
      <c r="BI6" s="250">
        <f t="shared" si="11"/>
        <v>1</v>
      </c>
      <c r="BJ6" s="250">
        <f t="shared" si="11"/>
        <v>1</v>
      </c>
      <c r="BK6" s="250">
        <f t="shared" si="12"/>
        <v>0</v>
      </c>
      <c r="BL6" s="255">
        <f t="shared" si="13"/>
        <v>1</v>
      </c>
      <c r="BM6" s="256">
        <f t="shared" si="22"/>
        <v>4</v>
      </c>
      <c r="BN6" s="257" t="str">
        <f>IF(BM6=6,E5,"")</f>
        <v/>
      </c>
      <c r="BO6" s="235">
        <f t="shared" si="23"/>
        <v>0</v>
      </c>
      <c r="BP6" s="235"/>
      <c r="BQ6" s="258">
        <f t="shared" si="24"/>
        <v>0</v>
      </c>
      <c r="BR6" s="259" t="str">
        <f>IF(BQ6=0,"",E5)</f>
        <v/>
      </c>
      <c r="BS6" s="260" t="str">
        <f t="shared" si="25"/>
        <v/>
      </c>
      <c r="BT6" s="230">
        <f t="shared" si="26"/>
        <v>0</v>
      </c>
      <c r="BU6" s="1286"/>
      <c r="BV6" s="1281"/>
      <c r="BW6" s="1282"/>
    </row>
    <row r="7" spans="1:75" ht="17.25" customHeight="1">
      <c r="A7" s="1241"/>
      <c r="B7" s="223"/>
      <c r="C7" s="261"/>
      <c r="D7" s="262" t="s">
        <v>219</v>
      </c>
      <c r="E7" s="1255" t="s">
        <v>129</v>
      </c>
      <c r="F7" s="1256" t="s">
        <v>220</v>
      </c>
      <c r="G7" s="1283" t="s">
        <v>221</v>
      </c>
      <c r="H7" s="1284"/>
      <c r="I7" s="1285" t="s">
        <v>215</v>
      </c>
      <c r="J7" s="224"/>
      <c r="K7" s="225"/>
      <c r="L7" s="226" t="s">
        <v>216</v>
      </c>
      <c r="M7" s="248" t="s">
        <v>145</v>
      </c>
      <c r="N7" s="202">
        <f>IF(C90&lt;50,1,0)</f>
        <v>1</v>
      </c>
      <c r="O7" s="249">
        <f>IF((B82/2)&lt;C89,1,0)</f>
        <v>0</v>
      </c>
      <c r="P7" s="228">
        <f>IF((P5+Q5=2),0,1)</f>
        <v>0</v>
      </c>
      <c r="Q7" s="232">
        <f>IF((P5+Q5=2),0,1)</f>
        <v>0</v>
      </c>
      <c r="R7" s="202" t="s">
        <v>217</v>
      </c>
      <c r="S7" s="202" t="s">
        <v>217</v>
      </c>
      <c r="T7" s="202" t="s">
        <v>217</v>
      </c>
      <c r="U7" s="249">
        <f>IF(C90&lt;5,1,0)</f>
        <v>0</v>
      </c>
      <c r="V7" s="249" t="s">
        <v>217</v>
      </c>
      <c r="W7" s="249" t="s">
        <v>217</v>
      </c>
      <c r="X7" s="249" t="s">
        <v>217</v>
      </c>
      <c r="Y7" s="249">
        <f t="shared" si="14"/>
        <v>0</v>
      </c>
      <c r="Z7" s="202">
        <f>IF(C90&gt;=5,1,0)</f>
        <v>1</v>
      </c>
      <c r="AA7" s="202">
        <f>IF(C90&lt;=12,1,0)</f>
        <v>0</v>
      </c>
      <c r="AB7" s="202">
        <f t="shared" si="15"/>
        <v>1</v>
      </c>
      <c r="AC7" s="230" t="s">
        <v>217</v>
      </c>
      <c r="AD7" s="230">
        <f>IF(C85&lt;15,1,0)</f>
        <v>0</v>
      </c>
      <c r="AF7" s="236">
        <f t="shared" si="0"/>
        <v>1</v>
      </c>
      <c r="AG7" s="228">
        <f t="shared" si="0"/>
        <v>0</v>
      </c>
      <c r="AH7" s="228">
        <f t="shared" si="0"/>
        <v>0</v>
      </c>
      <c r="AI7" s="228">
        <f t="shared" si="0"/>
        <v>0</v>
      </c>
      <c r="AJ7" s="228">
        <f t="shared" si="1"/>
        <v>0</v>
      </c>
      <c r="AK7" s="237">
        <f t="shared" si="2"/>
        <v>0</v>
      </c>
      <c r="AL7" s="238">
        <f t="shared" si="16"/>
        <v>1</v>
      </c>
      <c r="AM7" s="263" t="str">
        <f>IF(AL7=6,E7,"")</f>
        <v/>
      </c>
      <c r="AN7" s="235">
        <f t="shared" si="17"/>
        <v>0</v>
      </c>
      <c r="AO7" s="236">
        <f t="shared" si="3"/>
        <v>1</v>
      </c>
      <c r="AP7" s="228">
        <f t="shared" si="3"/>
        <v>0</v>
      </c>
      <c r="AQ7" s="228">
        <f t="shared" si="3"/>
        <v>0</v>
      </c>
      <c r="AR7" s="228">
        <f t="shared" si="3"/>
        <v>0</v>
      </c>
      <c r="AS7" s="228">
        <f t="shared" si="4"/>
        <v>0</v>
      </c>
      <c r="AT7" s="237">
        <f t="shared" si="5"/>
        <v>0</v>
      </c>
      <c r="AU7" s="238">
        <f t="shared" si="18"/>
        <v>1</v>
      </c>
      <c r="AV7" s="239" t="str">
        <f>IF(AU7=6,E7,"")</f>
        <v/>
      </c>
      <c r="AW7" s="235">
        <f t="shared" si="19"/>
        <v>0</v>
      </c>
      <c r="AX7" s="236">
        <f t="shared" si="6"/>
        <v>1</v>
      </c>
      <c r="AY7" s="228">
        <f t="shared" si="7"/>
        <v>0</v>
      </c>
      <c r="AZ7" s="228">
        <f t="shared" si="7"/>
        <v>0</v>
      </c>
      <c r="BA7" s="228">
        <f t="shared" si="7"/>
        <v>0</v>
      </c>
      <c r="BB7" s="228">
        <f t="shared" si="8"/>
        <v>0</v>
      </c>
      <c r="BC7" s="228">
        <f t="shared" si="9"/>
        <v>0</v>
      </c>
      <c r="BD7" s="242">
        <f t="shared" si="20"/>
        <v>1</v>
      </c>
      <c r="BE7" s="264" t="str">
        <f>IF(BD7=6,E7,"")</f>
        <v/>
      </c>
      <c r="BF7" s="235">
        <f t="shared" si="21"/>
        <v>0</v>
      </c>
      <c r="BG7" s="231">
        <f t="shared" si="10"/>
        <v>1</v>
      </c>
      <c r="BH7" s="202">
        <f t="shared" si="10"/>
        <v>0</v>
      </c>
      <c r="BI7" s="202">
        <f t="shared" si="11"/>
        <v>0</v>
      </c>
      <c r="BJ7" s="202">
        <f t="shared" si="11"/>
        <v>0</v>
      </c>
      <c r="BK7" s="202">
        <f t="shared" si="12"/>
        <v>0</v>
      </c>
      <c r="BL7" s="232">
        <f t="shared" si="13"/>
        <v>0</v>
      </c>
      <c r="BM7" s="265">
        <f t="shared" si="22"/>
        <v>1</v>
      </c>
      <c r="BN7" s="266" t="str">
        <f>IF(BM7=6,E7,"")</f>
        <v/>
      </c>
      <c r="BO7" s="235">
        <f t="shared" si="23"/>
        <v>0</v>
      </c>
      <c r="BP7" s="235"/>
      <c r="BQ7" s="244">
        <f t="shared" si="24"/>
        <v>0</v>
      </c>
      <c r="BR7" s="259" t="str">
        <f>IF(BQ7=0,"",E7)</f>
        <v/>
      </c>
      <c r="BS7" s="260" t="str">
        <f t="shared" si="25"/>
        <v/>
      </c>
      <c r="BT7" s="230">
        <f t="shared" si="26"/>
        <v>0</v>
      </c>
      <c r="BU7" s="1286">
        <f>BT7+BT8</f>
        <v>0</v>
      </c>
      <c r="BV7" s="1281">
        <f>IF(BW7="",0,1)</f>
        <v>0</v>
      </c>
      <c r="BW7" s="1282" t="str">
        <f>IF(BU7=0,"",E7)</f>
        <v/>
      </c>
    </row>
    <row r="8" spans="1:75" ht="17.25" customHeight="1">
      <c r="A8" s="1241"/>
      <c r="B8" s="223"/>
      <c r="C8" s="222"/>
      <c r="D8" s="262" t="s">
        <v>222</v>
      </c>
      <c r="E8" s="1246"/>
      <c r="F8" s="1248"/>
      <c r="G8" s="1250"/>
      <c r="H8" s="1252"/>
      <c r="I8" s="1254"/>
      <c r="J8" s="224"/>
      <c r="K8" s="225"/>
      <c r="L8" s="226" t="s">
        <v>218</v>
      </c>
      <c r="M8" s="248" t="s">
        <v>146</v>
      </c>
      <c r="N8" s="202">
        <f>IF(C90&lt;50,1,0)</f>
        <v>1</v>
      </c>
      <c r="O8" s="249">
        <f>IF((B82/2)&lt;C89,1,0)</f>
        <v>0</v>
      </c>
      <c r="P8" s="202">
        <f>IF((P5+Q5=2),0,1)</f>
        <v>0</v>
      </c>
      <c r="Q8" s="232">
        <f>IF((P5+Q5=2),0,1)</f>
        <v>0</v>
      </c>
      <c r="R8" s="202" t="s">
        <v>217</v>
      </c>
      <c r="S8" s="202" t="s">
        <v>217</v>
      </c>
      <c r="T8" s="202" t="s">
        <v>217</v>
      </c>
      <c r="U8" s="249">
        <f>IF(C90&lt;5,1,0)</f>
        <v>0</v>
      </c>
      <c r="V8" s="249" t="s">
        <v>217</v>
      </c>
      <c r="W8" s="249" t="s">
        <v>217</v>
      </c>
      <c r="X8" s="249" t="s">
        <v>217</v>
      </c>
      <c r="Y8" s="249">
        <f t="shared" si="14"/>
        <v>0</v>
      </c>
      <c r="Z8" s="202">
        <f>IF(C90&gt;=5,1,0)</f>
        <v>1</v>
      </c>
      <c r="AA8" s="202">
        <f>IF(C90&lt;=12,1,0)</f>
        <v>0</v>
      </c>
      <c r="AB8" s="202">
        <f t="shared" si="15"/>
        <v>1</v>
      </c>
      <c r="AC8" s="230" t="s">
        <v>217</v>
      </c>
      <c r="AD8" s="230">
        <f>IF(C85&gt;=15,1,0)</f>
        <v>1</v>
      </c>
      <c r="AF8" s="254">
        <f t="shared" si="0"/>
        <v>1</v>
      </c>
      <c r="AG8" s="250">
        <f t="shared" si="0"/>
        <v>0</v>
      </c>
      <c r="AH8" s="250">
        <f t="shared" si="0"/>
        <v>0</v>
      </c>
      <c r="AI8" s="250">
        <f t="shared" si="0"/>
        <v>0</v>
      </c>
      <c r="AJ8" s="250">
        <f t="shared" si="1"/>
        <v>0</v>
      </c>
      <c r="AK8" s="255">
        <f t="shared" si="2"/>
        <v>1</v>
      </c>
      <c r="AL8" s="267">
        <f t="shared" si="16"/>
        <v>2</v>
      </c>
      <c r="AM8" s="268" t="str">
        <f>IF(AL8=6,E7,"")</f>
        <v/>
      </c>
      <c r="AN8" s="235">
        <f t="shared" si="17"/>
        <v>0</v>
      </c>
      <c r="AO8" s="254">
        <f t="shared" si="3"/>
        <v>1</v>
      </c>
      <c r="AP8" s="250">
        <f t="shared" si="3"/>
        <v>0</v>
      </c>
      <c r="AQ8" s="250">
        <f t="shared" si="3"/>
        <v>0</v>
      </c>
      <c r="AR8" s="250">
        <f t="shared" si="3"/>
        <v>0</v>
      </c>
      <c r="AS8" s="250">
        <f t="shared" si="4"/>
        <v>0</v>
      </c>
      <c r="AT8" s="255">
        <f t="shared" si="5"/>
        <v>1</v>
      </c>
      <c r="AU8" s="267">
        <f t="shared" si="18"/>
        <v>2</v>
      </c>
      <c r="AV8" s="269" t="str">
        <f>IF(AU8=6,E7,"")</f>
        <v/>
      </c>
      <c r="AW8" s="235">
        <f t="shared" si="19"/>
        <v>0</v>
      </c>
      <c r="AX8" s="254">
        <f t="shared" si="6"/>
        <v>1</v>
      </c>
      <c r="AY8" s="250">
        <f t="shared" si="7"/>
        <v>0</v>
      </c>
      <c r="AZ8" s="250">
        <f t="shared" si="7"/>
        <v>0</v>
      </c>
      <c r="BA8" s="250">
        <f t="shared" si="7"/>
        <v>0</v>
      </c>
      <c r="BB8" s="250">
        <f t="shared" si="8"/>
        <v>0</v>
      </c>
      <c r="BC8" s="250">
        <f t="shared" si="9"/>
        <v>1</v>
      </c>
      <c r="BD8" s="256">
        <f t="shared" si="20"/>
        <v>2</v>
      </c>
      <c r="BE8" s="264" t="str">
        <f>IF(BD8=6,E7,"")</f>
        <v/>
      </c>
      <c r="BF8" s="235">
        <f t="shared" si="21"/>
        <v>0</v>
      </c>
      <c r="BG8" s="231">
        <f t="shared" si="10"/>
        <v>1</v>
      </c>
      <c r="BH8" s="202">
        <f t="shared" si="10"/>
        <v>0</v>
      </c>
      <c r="BI8" s="202">
        <f t="shared" si="11"/>
        <v>0</v>
      </c>
      <c r="BJ8" s="202">
        <f t="shared" si="11"/>
        <v>0</v>
      </c>
      <c r="BK8" s="202">
        <f t="shared" si="12"/>
        <v>0</v>
      </c>
      <c r="BL8" s="232">
        <f t="shared" si="13"/>
        <v>1</v>
      </c>
      <c r="BM8" s="265">
        <f t="shared" si="22"/>
        <v>2</v>
      </c>
      <c r="BN8" s="266" t="str">
        <f>IF(BM8=6,E7,"")</f>
        <v/>
      </c>
      <c r="BO8" s="235">
        <f t="shared" si="23"/>
        <v>0</v>
      </c>
      <c r="BP8" s="235"/>
      <c r="BQ8" s="258">
        <f t="shared" si="24"/>
        <v>0</v>
      </c>
      <c r="BR8" s="259" t="str">
        <f>IF(BQ8=0,"",E7)</f>
        <v/>
      </c>
      <c r="BS8" s="260" t="str">
        <f t="shared" si="25"/>
        <v/>
      </c>
      <c r="BT8" s="230">
        <f t="shared" si="26"/>
        <v>0</v>
      </c>
      <c r="BU8" s="1286"/>
      <c r="BV8" s="1281"/>
      <c r="BW8" s="1282"/>
    </row>
    <row r="9" spans="1:75" ht="17.25" customHeight="1">
      <c r="A9" s="1241"/>
      <c r="B9" s="223"/>
      <c r="C9" s="222"/>
      <c r="D9" s="262" t="s">
        <v>223</v>
      </c>
      <c r="E9" s="1255" t="s">
        <v>130</v>
      </c>
      <c r="F9" s="1256" t="s">
        <v>224</v>
      </c>
      <c r="G9" s="1287" t="s">
        <v>225</v>
      </c>
      <c r="H9" s="270"/>
      <c r="I9" s="1285" t="s">
        <v>226</v>
      </c>
      <c r="J9" s="224"/>
      <c r="K9" s="225"/>
      <c r="L9" s="226" t="s">
        <v>216</v>
      </c>
      <c r="M9" s="248" t="s">
        <v>147</v>
      </c>
      <c r="N9" s="202">
        <f>IF(C90&lt;50,1,0)</f>
        <v>1</v>
      </c>
      <c r="O9" s="249">
        <f>IF((B82/2)&lt;C89,1,0)</f>
        <v>0</v>
      </c>
      <c r="P9" s="228">
        <f>IF(C94&lt;4,1,0)</f>
        <v>0</v>
      </c>
      <c r="Q9" s="229">
        <f t="shared" ref="Q9:Q14" si="27">IF(T9=2,1,0)</f>
        <v>0</v>
      </c>
      <c r="R9" s="202">
        <f>IF(C94&gt;=4,1,0)</f>
        <v>1</v>
      </c>
      <c r="S9" s="202">
        <f>IF(C94&lt;=7,1,0)</f>
        <v>0</v>
      </c>
      <c r="T9" s="202">
        <f t="shared" ref="T9:T14" si="28">R9+S9</f>
        <v>1</v>
      </c>
      <c r="U9" s="229">
        <f>IF(C90&gt;12,1,0)</f>
        <v>1</v>
      </c>
      <c r="V9" s="249" t="s">
        <v>217</v>
      </c>
      <c r="W9" s="249" t="s">
        <v>217</v>
      </c>
      <c r="X9" s="249" t="s">
        <v>217</v>
      </c>
      <c r="Y9" s="249">
        <f t="shared" si="14"/>
        <v>0</v>
      </c>
      <c r="Z9" s="202">
        <f>IF(C90&gt;=5,1,0)</f>
        <v>1</v>
      </c>
      <c r="AA9" s="202">
        <f>IF(C90&lt;=12,1,0)</f>
        <v>0</v>
      </c>
      <c r="AB9" s="202">
        <f t="shared" si="15"/>
        <v>1</v>
      </c>
      <c r="AC9" s="230" t="s">
        <v>217</v>
      </c>
      <c r="AD9" s="230">
        <f>IF(C85&lt;15,1,0)</f>
        <v>0</v>
      </c>
      <c r="AF9" s="231">
        <f t="shared" si="0"/>
        <v>1</v>
      </c>
      <c r="AG9" s="202">
        <f t="shared" si="0"/>
        <v>0</v>
      </c>
      <c r="AH9" s="202">
        <f t="shared" si="0"/>
        <v>0</v>
      </c>
      <c r="AI9" s="202" t="s">
        <v>217</v>
      </c>
      <c r="AJ9" s="202">
        <f t="shared" si="1"/>
        <v>1</v>
      </c>
      <c r="AK9" s="232">
        <f t="shared" si="2"/>
        <v>0</v>
      </c>
      <c r="AL9" s="233">
        <f t="shared" si="16"/>
        <v>2</v>
      </c>
      <c r="AM9" s="234" t="str">
        <f>IF(AL9=5,E9,"")</f>
        <v/>
      </c>
      <c r="AN9" s="235">
        <f t="shared" si="17"/>
        <v>0</v>
      </c>
      <c r="AO9" s="231">
        <f t="shared" si="3"/>
        <v>1</v>
      </c>
      <c r="AP9" s="202">
        <f t="shared" si="3"/>
        <v>0</v>
      </c>
      <c r="AQ9" s="202" t="s">
        <v>217</v>
      </c>
      <c r="AR9" s="202">
        <f t="shared" si="3"/>
        <v>0</v>
      </c>
      <c r="AS9" s="202">
        <f t="shared" si="4"/>
        <v>1</v>
      </c>
      <c r="AT9" s="232">
        <f t="shared" si="5"/>
        <v>0</v>
      </c>
      <c r="AU9" s="233">
        <f t="shared" si="18"/>
        <v>2</v>
      </c>
      <c r="AV9" s="252" t="str">
        <f>IF(AU9=5,E9,"")</f>
        <v/>
      </c>
      <c r="AW9" s="235">
        <f t="shared" si="19"/>
        <v>0</v>
      </c>
      <c r="AX9" s="231">
        <f t="shared" si="6"/>
        <v>1</v>
      </c>
      <c r="AY9" s="202">
        <f t="shared" si="7"/>
        <v>0</v>
      </c>
      <c r="AZ9" s="202">
        <f t="shared" si="7"/>
        <v>0</v>
      </c>
      <c r="BA9" s="202" t="str">
        <f t="shared" si="7"/>
        <v>-</v>
      </c>
      <c r="BB9" s="202">
        <f t="shared" si="8"/>
        <v>0</v>
      </c>
      <c r="BC9" s="202">
        <f t="shared" si="9"/>
        <v>0</v>
      </c>
      <c r="BD9" s="240">
        <f t="shared" si="20"/>
        <v>1</v>
      </c>
      <c r="BE9" s="241" t="str">
        <f>IF(BD9=5,E9,"")</f>
        <v/>
      </c>
      <c r="BF9" s="235">
        <f t="shared" si="21"/>
        <v>0</v>
      </c>
      <c r="BG9" s="236">
        <f t="shared" si="10"/>
        <v>1</v>
      </c>
      <c r="BH9" s="228">
        <f t="shared" si="10"/>
        <v>0</v>
      </c>
      <c r="BI9" s="228" t="str">
        <f t="shared" si="11"/>
        <v>-</v>
      </c>
      <c r="BJ9" s="228">
        <f t="shared" si="11"/>
        <v>0</v>
      </c>
      <c r="BK9" s="228">
        <f t="shared" si="12"/>
        <v>0</v>
      </c>
      <c r="BL9" s="237">
        <f t="shared" si="13"/>
        <v>0</v>
      </c>
      <c r="BM9" s="242">
        <f t="shared" si="22"/>
        <v>1</v>
      </c>
      <c r="BN9" s="243" t="str">
        <f>IF(BM9=5,E9,"")</f>
        <v/>
      </c>
      <c r="BO9" s="235">
        <f t="shared" si="23"/>
        <v>0</v>
      </c>
      <c r="BP9" s="235"/>
      <c r="BQ9" s="271">
        <f t="shared" si="24"/>
        <v>0</v>
      </c>
      <c r="BR9" s="259" t="str">
        <f>IF(BQ9=0,"",E9)</f>
        <v/>
      </c>
      <c r="BS9" s="260" t="str">
        <f t="shared" si="25"/>
        <v/>
      </c>
      <c r="BT9" s="230">
        <f t="shared" si="26"/>
        <v>0</v>
      </c>
      <c r="BU9" s="1286">
        <f>BT9+BT10</f>
        <v>0</v>
      </c>
      <c r="BV9" s="1281">
        <f>IF(BW9="",0,1)</f>
        <v>0</v>
      </c>
      <c r="BW9" s="1282" t="str">
        <f>IF(BU9=0,"",E9)</f>
        <v/>
      </c>
    </row>
    <row r="10" spans="1:75" ht="16.5" customHeight="1">
      <c r="A10" s="1241"/>
      <c r="B10" s="223"/>
      <c r="C10" s="222"/>
      <c r="D10" s="262" t="s">
        <v>227</v>
      </c>
      <c r="E10" s="1246"/>
      <c r="F10" s="1248"/>
      <c r="G10" s="1288"/>
      <c r="H10" s="272" t="s">
        <v>228</v>
      </c>
      <c r="I10" s="1254"/>
      <c r="J10" s="224"/>
      <c r="K10" s="273"/>
      <c r="L10" s="226" t="s">
        <v>218</v>
      </c>
      <c r="M10" s="248" t="s">
        <v>148</v>
      </c>
      <c r="N10" s="202">
        <f>IF(C90&lt;50,1,0)</f>
        <v>1</v>
      </c>
      <c r="O10" s="249">
        <f>IF((B82/2)&lt;C89,1,0)</f>
        <v>0</v>
      </c>
      <c r="P10" s="202">
        <f>IF(C94&lt;4,1,0)</f>
        <v>0</v>
      </c>
      <c r="Q10" s="249">
        <f t="shared" si="27"/>
        <v>0</v>
      </c>
      <c r="R10" s="202">
        <f>IF(C94&gt;=4,1,0)</f>
        <v>1</v>
      </c>
      <c r="S10" s="202">
        <f>IF(C94&lt;=7,1,0)</f>
        <v>0</v>
      </c>
      <c r="T10" s="202">
        <f t="shared" si="28"/>
        <v>1</v>
      </c>
      <c r="U10" s="251">
        <f>IF(C90&gt;12,1,0)</f>
        <v>1</v>
      </c>
      <c r="V10" s="249" t="s">
        <v>217</v>
      </c>
      <c r="W10" s="249" t="s">
        <v>217</v>
      </c>
      <c r="X10" s="249" t="s">
        <v>217</v>
      </c>
      <c r="Y10" s="249">
        <f t="shared" si="14"/>
        <v>0</v>
      </c>
      <c r="Z10" s="202">
        <f>IF(C90&gt;=5,1,0)</f>
        <v>1</v>
      </c>
      <c r="AA10" s="202">
        <f>IF(C90&lt;=12,1,0)</f>
        <v>0</v>
      </c>
      <c r="AB10" s="202">
        <f t="shared" si="15"/>
        <v>1</v>
      </c>
      <c r="AC10" s="230" t="s">
        <v>217</v>
      </c>
      <c r="AD10" s="230">
        <f>IF(C85&gt;=15,1,0)</f>
        <v>1</v>
      </c>
      <c r="AF10" s="231">
        <f t="shared" si="0"/>
        <v>1</v>
      </c>
      <c r="AG10" s="202">
        <f t="shared" si="0"/>
        <v>0</v>
      </c>
      <c r="AH10" s="202">
        <f t="shared" si="0"/>
        <v>0</v>
      </c>
      <c r="AI10" s="202" t="s">
        <v>217</v>
      </c>
      <c r="AJ10" s="202">
        <f t="shared" si="1"/>
        <v>1</v>
      </c>
      <c r="AK10" s="232">
        <f t="shared" si="2"/>
        <v>1</v>
      </c>
      <c r="AL10" s="233">
        <f t="shared" si="16"/>
        <v>3</v>
      </c>
      <c r="AM10" s="234" t="str">
        <f>IF(AL10=5,E9,"")</f>
        <v/>
      </c>
      <c r="AN10" s="235">
        <f t="shared" si="17"/>
        <v>0</v>
      </c>
      <c r="AO10" s="231">
        <f t="shared" si="3"/>
        <v>1</v>
      </c>
      <c r="AP10" s="202">
        <f t="shared" si="3"/>
        <v>0</v>
      </c>
      <c r="AQ10" s="202" t="s">
        <v>217</v>
      </c>
      <c r="AR10" s="202">
        <f t="shared" si="3"/>
        <v>0</v>
      </c>
      <c r="AS10" s="202">
        <f t="shared" si="4"/>
        <v>1</v>
      </c>
      <c r="AT10" s="232">
        <f t="shared" si="5"/>
        <v>1</v>
      </c>
      <c r="AU10" s="233">
        <f t="shared" si="18"/>
        <v>3</v>
      </c>
      <c r="AV10" s="252" t="str">
        <f>IF(AU10=5,E9,"")</f>
        <v/>
      </c>
      <c r="AW10" s="235">
        <f t="shared" si="19"/>
        <v>0</v>
      </c>
      <c r="AX10" s="231">
        <f t="shared" si="6"/>
        <v>1</v>
      </c>
      <c r="AY10" s="202">
        <f t="shared" si="7"/>
        <v>0</v>
      </c>
      <c r="AZ10" s="202">
        <f t="shared" si="7"/>
        <v>0</v>
      </c>
      <c r="BA10" s="202" t="str">
        <f t="shared" si="7"/>
        <v>-</v>
      </c>
      <c r="BB10" s="202">
        <f t="shared" si="8"/>
        <v>0</v>
      </c>
      <c r="BC10" s="202">
        <f t="shared" si="9"/>
        <v>1</v>
      </c>
      <c r="BD10" s="240">
        <f t="shared" si="20"/>
        <v>2</v>
      </c>
      <c r="BE10" s="253" t="str">
        <f>IF(BD10=5,E9,"")</f>
        <v/>
      </c>
      <c r="BF10" s="235">
        <f t="shared" si="21"/>
        <v>0</v>
      </c>
      <c r="BG10" s="254">
        <f t="shared" si="10"/>
        <v>1</v>
      </c>
      <c r="BH10" s="250">
        <f t="shared" si="10"/>
        <v>0</v>
      </c>
      <c r="BI10" s="250" t="str">
        <f t="shared" si="11"/>
        <v>-</v>
      </c>
      <c r="BJ10" s="250">
        <f t="shared" si="11"/>
        <v>0</v>
      </c>
      <c r="BK10" s="250">
        <f t="shared" si="12"/>
        <v>0</v>
      </c>
      <c r="BL10" s="255">
        <f t="shared" si="13"/>
        <v>1</v>
      </c>
      <c r="BM10" s="256">
        <f t="shared" si="22"/>
        <v>2</v>
      </c>
      <c r="BN10" s="257" t="str">
        <f>IF(BM10=5,E9,"")</f>
        <v/>
      </c>
      <c r="BO10" s="235">
        <f t="shared" si="23"/>
        <v>0</v>
      </c>
      <c r="BP10" s="235"/>
      <c r="BQ10" s="271">
        <f t="shared" si="24"/>
        <v>0</v>
      </c>
      <c r="BR10" s="259" t="str">
        <f>IF(BQ10=0,"",E9)</f>
        <v/>
      </c>
      <c r="BS10" s="260" t="str">
        <f t="shared" si="25"/>
        <v/>
      </c>
      <c r="BT10" s="230">
        <f t="shared" si="26"/>
        <v>0</v>
      </c>
      <c r="BU10" s="1286"/>
      <c r="BV10" s="1281"/>
      <c r="BW10" s="1282"/>
    </row>
    <row r="11" spans="1:75" ht="17.25" customHeight="1">
      <c r="A11" s="1241"/>
      <c r="B11" s="274" t="s">
        <v>229</v>
      </c>
      <c r="C11" s="275"/>
      <c r="D11" s="276"/>
      <c r="E11" s="1255" t="s">
        <v>131</v>
      </c>
      <c r="F11" s="1256" t="s">
        <v>230</v>
      </c>
      <c r="G11" s="1287" t="s">
        <v>231</v>
      </c>
      <c r="H11" s="272" t="s">
        <v>232</v>
      </c>
      <c r="I11" s="1285" t="s">
        <v>226</v>
      </c>
      <c r="J11" s="1289" t="s">
        <v>127</v>
      </c>
      <c r="K11" s="1290"/>
      <c r="L11" s="226" t="s">
        <v>216</v>
      </c>
      <c r="M11" s="248" t="s">
        <v>149</v>
      </c>
      <c r="N11" s="202">
        <f>IF(C90&lt;50,1,0)</f>
        <v>1</v>
      </c>
      <c r="O11" s="249">
        <f>IF((B82/2)&lt;C89,1,0)</f>
        <v>0</v>
      </c>
      <c r="P11" s="228">
        <f>IF(C94&gt;7,1,0)</f>
        <v>1</v>
      </c>
      <c r="Q11" s="249">
        <f t="shared" si="27"/>
        <v>0</v>
      </c>
      <c r="R11" s="202">
        <f>IF(C94&gt;=4,1,0)</f>
        <v>1</v>
      </c>
      <c r="S11" s="202">
        <f>IF(C94&lt;=7,1,0)</f>
        <v>0</v>
      </c>
      <c r="T11" s="202">
        <f t="shared" si="28"/>
        <v>1</v>
      </c>
      <c r="U11" s="249">
        <f>IF(C90&gt;12,1,0)</f>
        <v>1</v>
      </c>
      <c r="V11" s="249" t="s">
        <v>217</v>
      </c>
      <c r="W11" s="249" t="s">
        <v>217</v>
      </c>
      <c r="X11" s="249" t="s">
        <v>217</v>
      </c>
      <c r="Y11" s="249">
        <f t="shared" si="14"/>
        <v>0</v>
      </c>
      <c r="Z11" s="202">
        <f>IF(C90&gt;=5,1,0)</f>
        <v>1</v>
      </c>
      <c r="AA11" s="202">
        <f>IF(C90&lt;=12,1,0)</f>
        <v>0</v>
      </c>
      <c r="AB11" s="202">
        <f t="shared" si="15"/>
        <v>1</v>
      </c>
      <c r="AC11" s="230" t="s">
        <v>217</v>
      </c>
      <c r="AD11" s="230">
        <f>IF(C85&lt;15,1,0)</f>
        <v>0</v>
      </c>
      <c r="AF11" s="236">
        <f t="shared" si="0"/>
        <v>1</v>
      </c>
      <c r="AG11" s="228">
        <f t="shared" si="0"/>
        <v>0</v>
      </c>
      <c r="AH11" s="228">
        <f t="shared" si="0"/>
        <v>1</v>
      </c>
      <c r="AI11" s="228" t="s">
        <v>217</v>
      </c>
      <c r="AJ11" s="228">
        <f t="shared" si="1"/>
        <v>1</v>
      </c>
      <c r="AK11" s="237">
        <f t="shared" si="2"/>
        <v>0</v>
      </c>
      <c r="AL11" s="238">
        <f t="shared" si="16"/>
        <v>3</v>
      </c>
      <c r="AM11" s="263" t="str">
        <f>IF(AL11=5,E11,"")</f>
        <v/>
      </c>
      <c r="AN11" s="235">
        <f t="shared" si="17"/>
        <v>0</v>
      </c>
      <c r="AO11" s="236">
        <f t="shared" si="3"/>
        <v>1</v>
      </c>
      <c r="AP11" s="228">
        <f t="shared" si="3"/>
        <v>0</v>
      </c>
      <c r="AQ11" s="228" t="s">
        <v>217</v>
      </c>
      <c r="AR11" s="228">
        <f t="shared" si="3"/>
        <v>0</v>
      </c>
      <c r="AS11" s="228">
        <f t="shared" si="4"/>
        <v>1</v>
      </c>
      <c r="AT11" s="237">
        <f t="shared" si="5"/>
        <v>0</v>
      </c>
      <c r="AU11" s="238">
        <f t="shared" si="18"/>
        <v>2</v>
      </c>
      <c r="AV11" s="239" t="str">
        <f>IF(AU11=5,E11,"")</f>
        <v/>
      </c>
      <c r="AW11" s="235">
        <f t="shared" si="19"/>
        <v>0</v>
      </c>
      <c r="AX11" s="236">
        <f t="shared" si="6"/>
        <v>1</v>
      </c>
      <c r="AY11" s="228">
        <f t="shared" si="7"/>
        <v>0</v>
      </c>
      <c r="AZ11" s="228">
        <f t="shared" si="7"/>
        <v>1</v>
      </c>
      <c r="BA11" s="228" t="str">
        <f t="shared" si="7"/>
        <v>-</v>
      </c>
      <c r="BB11" s="228">
        <f t="shared" si="8"/>
        <v>0</v>
      </c>
      <c r="BC11" s="228">
        <f t="shared" si="9"/>
        <v>0</v>
      </c>
      <c r="BD11" s="242">
        <f t="shared" si="20"/>
        <v>2</v>
      </c>
      <c r="BE11" s="264" t="str">
        <f>IF(BD11=5,E11,"")</f>
        <v/>
      </c>
      <c r="BF11" s="235">
        <f t="shared" si="21"/>
        <v>0</v>
      </c>
      <c r="BG11" s="231">
        <f t="shared" si="10"/>
        <v>1</v>
      </c>
      <c r="BH11" s="202">
        <f t="shared" si="10"/>
        <v>0</v>
      </c>
      <c r="BI11" s="202" t="str">
        <f t="shared" si="11"/>
        <v>-</v>
      </c>
      <c r="BJ11" s="202">
        <f t="shared" si="11"/>
        <v>0</v>
      </c>
      <c r="BK11" s="202">
        <f t="shared" si="12"/>
        <v>0</v>
      </c>
      <c r="BL11" s="232">
        <f t="shared" si="13"/>
        <v>0</v>
      </c>
      <c r="BM11" s="265">
        <f t="shared" si="22"/>
        <v>1</v>
      </c>
      <c r="BN11" s="266" t="str">
        <f>IF(BM11=5,E11,"")</f>
        <v/>
      </c>
      <c r="BO11" s="235">
        <f t="shared" si="23"/>
        <v>0</v>
      </c>
      <c r="BP11" s="235"/>
      <c r="BQ11" s="244">
        <f t="shared" si="24"/>
        <v>0</v>
      </c>
      <c r="BR11" s="259" t="str">
        <f>IF(BQ11=0,"",E11)</f>
        <v/>
      </c>
      <c r="BS11" s="260" t="str">
        <f t="shared" si="25"/>
        <v/>
      </c>
      <c r="BT11" s="230">
        <f t="shared" si="26"/>
        <v>0</v>
      </c>
      <c r="BU11" s="1286">
        <f>BT11+BT12</f>
        <v>0</v>
      </c>
      <c r="BV11" s="1281">
        <f>IF(BW11="",0,1)</f>
        <v>0</v>
      </c>
      <c r="BW11" s="1282" t="str">
        <f>IF(BU11=0,"",E11)</f>
        <v/>
      </c>
    </row>
    <row r="12" spans="1:75" ht="17.25" customHeight="1">
      <c r="A12" s="1241"/>
      <c r="B12" s="274" t="s">
        <v>233</v>
      </c>
      <c r="C12" s="275"/>
      <c r="D12" s="277"/>
      <c r="E12" s="1246"/>
      <c r="F12" s="1248"/>
      <c r="G12" s="1288"/>
      <c r="H12" s="278"/>
      <c r="I12" s="1254"/>
      <c r="J12" s="1289"/>
      <c r="K12" s="1290"/>
      <c r="L12" s="226" t="s">
        <v>218</v>
      </c>
      <c r="M12" s="248" t="s">
        <v>150</v>
      </c>
      <c r="N12" s="202">
        <f>IF(C90&lt;50,1,0)</f>
        <v>1</v>
      </c>
      <c r="O12" s="251">
        <f>IF((B82/2)&lt;C89,1,0)</f>
        <v>0</v>
      </c>
      <c r="P12" s="250">
        <f>IF(C94&gt;7,1,0)</f>
        <v>1</v>
      </c>
      <c r="Q12" s="251">
        <f t="shared" si="27"/>
        <v>0</v>
      </c>
      <c r="R12" s="202">
        <f>IF(C94&gt;=4,1,0)</f>
        <v>1</v>
      </c>
      <c r="S12" s="202">
        <f>IF(C94&lt;=7,1,0)</f>
        <v>0</v>
      </c>
      <c r="T12" s="202">
        <f t="shared" si="28"/>
        <v>1</v>
      </c>
      <c r="U12" s="249">
        <f>IF(C90&gt;12,1,0)</f>
        <v>1</v>
      </c>
      <c r="V12" s="249" t="s">
        <v>217</v>
      </c>
      <c r="W12" s="249" t="s">
        <v>217</v>
      </c>
      <c r="X12" s="249" t="s">
        <v>217</v>
      </c>
      <c r="Y12" s="249">
        <f t="shared" si="14"/>
        <v>0</v>
      </c>
      <c r="Z12" s="202">
        <f>IF(C90&gt;=5,1,0)</f>
        <v>1</v>
      </c>
      <c r="AA12" s="202">
        <f>IF(C90&lt;=12,1,0)</f>
        <v>0</v>
      </c>
      <c r="AB12" s="202">
        <f t="shared" si="15"/>
        <v>1</v>
      </c>
      <c r="AC12" s="230" t="s">
        <v>217</v>
      </c>
      <c r="AD12" s="230">
        <f>IF(C85&gt;=15,1,0)</f>
        <v>1</v>
      </c>
      <c r="AF12" s="254">
        <f t="shared" si="0"/>
        <v>1</v>
      </c>
      <c r="AG12" s="250">
        <f t="shared" si="0"/>
        <v>0</v>
      </c>
      <c r="AH12" s="250">
        <f t="shared" si="0"/>
        <v>1</v>
      </c>
      <c r="AI12" s="250" t="s">
        <v>217</v>
      </c>
      <c r="AJ12" s="250">
        <f t="shared" si="1"/>
        <v>1</v>
      </c>
      <c r="AK12" s="255">
        <f t="shared" si="2"/>
        <v>1</v>
      </c>
      <c r="AL12" s="267">
        <f t="shared" si="16"/>
        <v>4</v>
      </c>
      <c r="AM12" s="268" t="str">
        <f>IF(AL12=5,E11,"")</f>
        <v/>
      </c>
      <c r="AN12" s="235">
        <f t="shared" si="17"/>
        <v>0</v>
      </c>
      <c r="AO12" s="254">
        <f t="shared" si="3"/>
        <v>1</v>
      </c>
      <c r="AP12" s="250">
        <f t="shared" si="3"/>
        <v>0</v>
      </c>
      <c r="AQ12" s="250" t="s">
        <v>217</v>
      </c>
      <c r="AR12" s="250">
        <f t="shared" si="3"/>
        <v>0</v>
      </c>
      <c r="AS12" s="250">
        <f t="shared" si="4"/>
        <v>1</v>
      </c>
      <c r="AT12" s="255">
        <f t="shared" si="5"/>
        <v>1</v>
      </c>
      <c r="AU12" s="267">
        <f t="shared" si="18"/>
        <v>3</v>
      </c>
      <c r="AV12" s="269" t="str">
        <f>IF(AU12=5,E11,"")</f>
        <v/>
      </c>
      <c r="AW12" s="235">
        <f t="shared" si="19"/>
        <v>0</v>
      </c>
      <c r="AX12" s="254">
        <f t="shared" si="6"/>
        <v>1</v>
      </c>
      <c r="AY12" s="250">
        <f t="shared" si="7"/>
        <v>0</v>
      </c>
      <c r="AZ12" s="250">
        <f t="shared" si="7"/>
        <v>1</v>
      </c>
      <c r="BA12" s="250" t="str">
        <f t="shared" si="7"/>
        <v>-</v>
      </c>
      <c r="BB12" s="250">
        <f t="shared" si="8"/>
        <v>0</v>
      </c>
      <c r="BC12" s="250">
        <f t="shared" si="9"/>
        <v>1</v>
      </c>
      <c r="BD12" s="256">
        <f t="shared" si="20"/>
        <v>3</v>
      </c>
      <c r="BE12" s="264" t="str">
        <f>IF(BD12=5,E11,"")</f>
        <v/>
      </c>
      <c r="BF12" s="235">
        <f t="shared" si="21"/>
        <v>0</v>
      </c>
      <c r="BG12" s="231">
        <f t="shared" si="10"/>
        <v>1</v>
      </c>
      <c r="BH12" s="202">
        <f t="shared" si="10"/>
        <v>0</v>
      </c>
      <c r="BI12" s="202" t="str">
        <f t="shared" si="11"/>
        <v>-</v>
      </c>
      <c r="BJ12" s="202">
        <f t="shared" si="11"/>
        <v>0</v>
      </c>
      <c r="BK12" s="202">
        <f t="shared" si="12"/>
        <v>0</v>
      </c>
      <c r="BL12" s="232">
        <f t="shared" si="13"/>
        <v>1</v>
      </c>
      <c r="BM12" s="265">
        <f t="shared" si="22"/>
        <v>2</v>
      </c>
      <c r="BN12" s="266" t="str">
        <f>IF(BM12=5,E11,"")</f>
        <v/>
      </c>
      <c r="BO12" s="235">
        <f t="shared" si="23"/>
        <v>0</v>
      </c>
      <c r="BP12" s="235"/>
      <c r="BQ12" s="258">
        <f>AN12+AW12+BF12+BO12</f>
        <v>0</v>
      </c>
      <c r="BR12" s="259" t="str">
        <f>IF(BQ12=0,"",E11)</f>
        <v/>
      </c>
      <c r="BS12" s="260" t="str">
        <f>IF(BQ12=0,"",M12)</f>
        <v/>
      </c>
      <c r="BT12" s="230">
        <f>IF(BR12="",0,1)</f>
        <v>0</v>
      </c>
      <c r="BU12" s="1286"/>
      <c r="BV12" s="1281"/>
      <c r="BW12" s="1282"/>
    </row>
    <row r="13" spans="1:75" ht="17.25" customHeight="1">
      <c r="A13" s="1241"/>
      <c r="B13" s="274" t="s">
        <v>234</v>
      </c>
      <c r="C13" s="274"/>
      <c r="D13" s="279"/>
      <c r="E13" s="1255" t="s">
        <v>132</v>
      </c>
      <c r="F13" s="1256" t="s">
        <v>235</v>
      </c>
      <c r="G13" s="1283" t="s">
        <v>236</v>
      </c>
      <c r="H13" s="1284" t="s">
        <v>214</v>
      </c>
      <c r="I13" s="1285" t="s">
        <v>215</v>
      </c>
      <c r="J13" s="1289" t="s">
        <v>237</v>
      </c>
      <c r="K13" s="1290"/>
      <c r="L13" s="226" t="s">
        <v>238</v>
      </c>
      <c r="M13" s="248" t="s">
        <v>151</v>
      </c>
      <c r="N13" s="280">
        <f>IF(C90&lt;50,1,0)</f>
        <v>1</v>
      </c>
      <c r="O13" s="229">
        <f>IF((B82/2)&gt;C89,1,0)</f>
        <v>1</v>
      </c>
      <c r="P13" s="237">
        <f>IF(C95&gt;=6,1,0)</f>
        <v>1</v>
      </c>
      <c r="Q13" s="229">
        <f t="shared" si="27"/>
        <v>1</v>
      </c>
      <c r="R13" s="202">
        <f>IF(C96&gt;=1,1,0)</f>
        <v>1</v>
      </c>
      <c r="S13" s="202">
        <f>IF(C96&lt;=3,1,0)</f>
        <v>1</v>
      </c>
      <c r="T13" s="202">
        <f t="shared" si="28"/>
        <v>2</v>
      </c>
      <c r="U13" s="229">
        <f>IF(C90&lt;5,1,0)</f>
        <v>0</v>
      </c>
      <c r="V13" s="249" t="s">
        <v>217</v>
      </c>
      <c r="W13" s="249" t="s">
        <v>217</v>
      </c>
      <c r="X13" s="249" t="s">
        <v>217</v>
      </c>
      <c r="Y13" s="249">
        <f t="shared" si="14"/>
        <v>0</v>
      </c>
      <c r="Z13" s="202">
        <f>IF(C90&gt;=5,1,0)</f>
        <v>1</v>
      </c>
      <c r="AA13" s="202">
        <f>IF(C90&lt;=12,1,0)</f>
        <v>0</v>
      </c>
      <c r="AB13" s="202">
        <f t="shared" si="15"/>
        <v>1</v>
      </c>
      <c r="AC13" s="230" t="s">
        <v>217</v>
      </c>
      <c r="AD13" s="230">
        <f>IF(C85&lt;15,1,0)</f>
        <v>0</v>
      </c>
      <c r="AF13" s="231">
        <f t="shared" si="0"/>
        <v>1</v>
      </c>
      <c r="AG13" s="202">
        <f t="shared" si="0"/>
        <v>1</v>
      </c>
      <c r="AH13" s="202">
        <f t="shared" si="0"/>
        <v>1</v>
      </c>
      <c r="AI13" s="202">
        <f>Q13</f>
        <v>1</v>
      </c>
      <c r="AJ13" s="202">
        <f t="shared" si="1"/>
        <v>0</v>
      </c>
      <c r="AK13" s="232">
        <f t="shared" si="2"/>
        <v>0</v>
      </c>
      <c r="AL13" s="233">
        <f t="shared" si="16"/>
        <v>4</v>
      </c>
      <c r="AM13" s="234" t="str">
        <f>IF(AL13=6,E13,"")</f>
        <v/>
      </c>
      <c r="AN13" s="235">
        <f t="shared" si="17"/>
        <v>0</v>
      </c>
      <c r="AO13" s="231">
        <f t="shared" si="3"/>
        <v>1</v>
      </c>
      <c r="AP13" s="202">
        <f t="shared" si="3"/>
        <v>1</v>
      </c>
      <c r="AQ13" s="202">
        <f>P13</f>
        <v>1</v>
      </c>
      <c r="AR13" s="202">
        <f t="shared" si="3"/>
        <v>1</v>
      </c>
      <c r="AS13" s="202">
        <f t="shared" si="4"/>
        <v>0</v>
      </c>
      <c r="AT13" s="232">
        <f t="shared" si="5"/>
        <v>0</v>
      </c>
      <c r="AU13" s="233">
        <f t="shared" si="18"/>
        <v>4</v>
      </c>
      <c r="AV13" s="252" t="str">
        <f>IF(AU13=6,E13,"")</f>
        <v/>
      </c>
      <c r="AW13" s="235">
        <f t="shared" si="19"/>
        <v>0</v>
      </c>
      <c r="AX13" s="231">
        <f t="shared" si="6"/>
        <v>1</v>
      </c>
      <c r="AY13" s="202">
        <f t="shared" si="7"/>
        <v>1</v>
      </c>
      <c r="AZ13" s="202">
        <f t="shared" si="7"/>
        <v>1</v>
      </c>
      <c r="BA13" s="202">
        <f t="shared" si="7"/>
        <v>1</v>
      </c>
      <c r="BB13" s="202">
        <f t="shared" si="8"/>
        <v>0</v>
      </c>
      <c r="BC13" s="202">
        <f t="shared" si="9"/>
        <v>0</v>
      </c>
      <c r="BD13" s="240">
        <f t="shared" si="20"/>
        <v>4</v>
      </c>
      <c r="BE13" s="241" t="str">
        <f>IF(BD13=6,E13,"")</f>
        <v/>
      </c>
      <c r="BF13" s="235">
        <f t="shared" si="21"/>
        <v>0</v>
      </c>
      <c r="BG13" s="236">
        <f t="shared" si="10"/>
        <v>1</v>
      </c>
      <c r="BH13" s="228">
        <f t="shared" si="10"/>
        <v>1</v>
      </c>
      <c r="BI13" s="228">
        <f t="shared" si="11"/>
        <v>1</v>
      </c>
      <c r="BJ13" s="228">
        <f t="shared" si="11"/>
        <v>1</v>
      </c>
      <c r="BK13" s="228">
        <f t="shared" si="12"/>
        <v>0</v>
      </c>
      <c r="BL13" s="237">
        <f t="shared" si="13"/>
        <v>0</v>
      </c>
      <c r="BM13" s="242">
        <f t="shared" si="22"/>
        <v>4</v>
      </c>
      <c r="BN13" s="243" t="str">
        <f>IF(BM13=6,E13,"")</f>
        <v/>
      </c>
      <c r="BO13" s="235">
        <f t="shared" si="23"/>
        <v>0</v>
      </c>
      <c r="BP13" s="235"/>
      <c r="BQ13" s="271">
        <f t="shared" si="24"/>
        <v>0</v>
      </c>
      <c r="BR13" s="259" t="str">
        <f>IF(BQ13=0,"",E13)</f>
        <v/>
      </c>
      <c r="BS13" s="260" t="str">
        <f t="shared" si="25"/>
        <v/>
      </c>
      <c r="BT13" s="230">
        <f t="shared" si="26"/>
        <v>0</v>
      </c>
      <c r="BU13" s="1286">
        <f>BT13+BT14</f>
        <v>0</v>
      </c>
      <c r="BV13" s="1281">
        <f>IF(BW13="",0,1)</f>
        <v>0</v>
      </c>
      <c r="BW13" s="1282" t="str">
        <f>IF(BU13=0,"",E13)</f>
        <v/>
      </c>
    </row>
    <row r="14" spans="1:75" ht="17.25" customHeight="1">
      <c r="A14" s="1241"/>
      <c r="B14" s="274" t="s">
        <v>239</v>
      </c>
      <c r="C14" s="274"/>
      <c r="D14" s="262"/>
      <c r="E14" s="1246"/>
      <c r="F14" s="1248"/>
      <c r="G14" s="1250"/>
      <c r="H14" s="1252"/>
      <c r="I14" s="1254"/>
      <c r="J14" s="1289"/>
      <c r="K14" s="1290"/>
      <c r="L14" s="226" t="s">
        <v>240</v>
      </c>
      <c r="M14" s="248" t="s">
        <v>241</v>
      </c>
      <c r="N14" s="280">
        <f>IF(C90&lt;50,1,0)</f>
        <v>1</v>
      </c>
      <c r="O14" s="249">
        <f>IF((B82/2)&gt;C89,1,0)</f>
        <v>1</v>
      </c>
      <c r="P14" s="255">
        <f>IF(C95&gt;=6,1,0)</f>
        <v>1</v>
      </c>
      <c r="Q14" s="251">
        <f t="shared" si="27"/>
        <v>1</v>
      </c>
      <c r="R14" s="202">
        <f>IF(C96&gt;=1,1,0)</f>
        <v>1</v>
      </c>
      <c r="S14" s="202">
        <f>IF(C96&lt;=3,1,0)</f>
        <v>1</v>
      </c>
      <c r="T14" s="202">
        <f t="shared" si="28"/>
        <v>2</v>
      </c>
      <c r="U14" s="251">
        <f>IF(C90&lt;5,1,0)</f>
        <v>0</v>
      </c>
      <c r="V14" s="249" t="s">
        <v>217</v>
      </c>
      <c r="W14" s="249" t="s">
        <v>217</v>
      </c>
      <c r="X14" s="249" t="s">
        <v>217</v>
      </c>
      <c r="Y14" s="249">
        <f t="shared" si="14"/>
        <v>0</v>
      </c>
      <c r="Z14" s="202">
        <f>IF(C90&gt;=5,1,0)</f>
        <v>1</v>
      </c>
      <c r="AA14" s="202">
        <f>IF(C90&lt;=12,1,0)</f>
        <v>0</v>
      </c>
      <c r="AB14" s="202">
        <f t="shared" si="15"/>
        <v>1</v>
      </c>
      <c r="AC14" s="230" t="s">
        <v>217</v>
      </c>
      <c r="AD14" s="230">
        <f>IF(C85&gt;=15,1,0)</f>
        <v>1</v>
      </c>
      <c r="AF14" s="231">
        <f t="shared" si="0"/>
        <v>1</v>
      </c>
      <c r="AG14" s="202">
        <f t="shared" si="0"/>
        <v>1</v>
      </c>
      <c r="AH14" s="202">
        <f t="shared" si="0"/>
        <v>1</v>
      </c>
      <c r="AI14" s="202">
        <f>Q14</f>
        <v>1</v>
      </c>
      <c r="AJ14" s="202">
        <f t="shared" si="1"/>
        <v>0</v>
      </c>
      <c r="AK14" s="232">
        <f t="shared" si="2"/>
        <v>1</v>
      </c>
      <c r="AL14" s="233">
        <f t="shared" si="16"/>
        <v>5</v>
      </c>
      <c r="AM14" s="234" t="str">
        <f>IF(AL14=6,E13,"")</f>
        <v/>
      </c>
      <c r="AN14" s="235">
        <f t="shared" si="17"/>
        <v>0</v>
      </c>
      <c r="AO14" s="231">
        <f t="shared" si="3"/>
        <v>1</v>
      </c>
      <c r="AP14" s="202">
        <f t="shared" si="3"/>
        <v>1</v>
      </c>
      <c r="AQ14" s="202">
        <f>P14</f>
        <v>1</v>
      </c>
      <c r="AR14" s="202">
        <f t="shared" si="3"/>
        <v>1</v>
      </c>
      <c r="AS14" s="202">
        <f t="shared" si="4"/>
        <v>0</v>
      </c>
      <c r="AT14" s="232">
        <f t="shared" si="5"/>
        <v>1</v>
      </c>
      <c r="AU14" s="233">
        <f t="shared" si="18"/>
        <v>5</v>
      </c>
      <c r="AV14" s="252" t="str">
        <f>IF(AU14=6,E13,"")</f>
        <v/>
      </c>
      <c r="AW14" s="235">
        <f t="shared" si="19"/>
        <v>0</v>
      </c>
      <c r="AX14" s="231">
        <f t="shared" si="6"/>
        <v>1</v>
      </c>
      <c r="AY14" s="202">
        <f t="shared" si="7"/>
        <v>1</v>
      </c>
      <c r="AZ14" s="202">
        <f t="shared" si="7"/>
        <v>1</v>
      </c>
      <c r="BA14" s="202">
        <f t="shared" si="7"/>
        <v>1</v>
      </c>
      <c r="BB14" s="202">
        <f t="shared" si="8"/>
        <v>0</v>
      </c>
      <c r="BC14" s="202">
        <f t="shared" si="9"/>
        <v>1</v>
      </c>
      <c r="BD14" s="240">
        <f t="shared" si="20"/>
        <v>5</v>
      </c>
      <c r="BE14" s="253" t="str">
        <f>IF(BD14=6,E13,"")</f>
        <v/>
      </c>
      <c r="BF14" s="235">
        <f t="shared" si="21"/>
        <v>0</v>
      </c>
      <c r="BG14" s="254">
        <f t="shared" si="10"/>
        <v>1</v>
      </c>
      <c r="BH14" s="250">
        <f t="shared" si="10"/>
        <v>1</v>
      </c>
      <c r="BI14" s="250">
        <f t="shared" si="11"/>
        <v>1</v>
      </c>
      <c r="BJ14" s="250">
        <f t="shared" si="11"/>
        <v>1</v>
      </c>
      <c r="BK14" s="250">
        <f t="shared" si="12"/>
        <v>0</v>
      </c>
      <c r="BL14" s="255">
        <f t="shared" si="13"/>
        <v>1</v>
      </c>
      <c r="BM14" s="256">
        <f t="shared" si="22"/>
        <v>5</v>
      </c>
      <c r="BN14" s="257" t="str">
        <f>IF(BM14=6,E13,"")</f>
        <v/>
      </c>
      <c r="BO14" s="235">
        <f t="shared" si="23"/>
        <v>0</v>
      </c>
      <c r="BP14" s="235"/>
      <c r="BQ14" s="271">
        <f t="shared" si="24"/>
        <v>0</v>
      </c>
      <c r="BR14" s="259" t="str">
        <f>IF(BQ14=0,"",E13)</f>
        <v/>
      </c>
      <c r="BS14" s="260" t="str">
        <f t="shared" si="25"/>
        <v/>
      </c>
      <c r="BT14" s="230">
        <f t="shared" si="26"/>
        <v>0</v>
      </c>
      <c r="BU14" s="1286"/>
      <c r="BV14" s="1281"/>
      <c r="BW14" s="1282"/>
    </row>
    <row r="15" spans="1:75" ht="17.25" customHeight="1">
      <c r="A15" s="1241"/>
      <c r="B15" s="223"/>
      <c r="C15" s="281"/>
      <c r="D15" s="262" t="s">
        <v>242</v>
      </c>
      <c r="E15" s="1255" t="s">
        <v>133</v>
      </c>
      <c r="F15" s="1256" t="s">
        <v>243</v>
      </c>
      <c r="G15" s="1283" t="s">
        <v>244</v>
      </c>
      <c r="H15" s="1284"/>
      <c r="I15" s="1285" t="s">
        <v>215</v>
      </c>
      <c r="J15" s="224"/>
      <c r="K15" s="225"/>
      <c r="L15" s="226" t="s">
        <v>238</v>
      </c>
      <c r="M15" s="248" t="s">
        <v>152</v>
      </c>
      <c r="N15" s="280">
        <f>IF(C90&lt;50,1,0)</f>
        <v>1</v>
      </c>
      <c r="O15" s="249">
        <f>IF((B82/2)&gt;C89,1,0)</f>
        <v>1</v>
      </c>
      <c r="P15" s="228">
        <f>IF((P13+Q13=2),0,1)</f>
        <v>0</v>
      </c>
      <c r="Q15" s="237">
        <f>IF((P13+Q13=2),0,1)</f>
        <v>0</v>
      </c>
      <c r="R15" s="202" t="s">
        <v>217</v>
      </c>
      <c r="S15" s="202" t="s">
        <v>217</v>
      </c>
      <c r="T15" s="202" t="s">
        <v>217</v>
      </c>
      <c r="U15" s="249">
        <f>IF(C90&lt;5,1,0)</f>
        <v>0</v>
      </c>
      <c r="V15" s="249" t="s">
        <v>217</v>
      </c>
      <c r="W15" s="249" t="s">
        <v>217</v>
      </c>
      <c r="X15" s="249" t="s">
        <v>217</v>
      </c>
      <c r="Y15" s="249">
        <f t="shared" si="14"/>
        <v>0</v>
      </c>
      <c r="Z15" s="202">
        <f>IF(C90&gt;=5,1,0)</f>
        <v>1</v>
      </c>
      <c r="AA15" s="202">
        <f>IF(C90&lt;=12,1,0)</f>
        <v>0</v>
      </c>
      <c r="AB15" s="202">
        <f t="shared" si="15"/>
        <v>1</v>
      </c>
      <c r="AC15" s="230" t="s">
        <v>217</v>
      </c>
      <c r="AD15" s="230">
        <f>IF(C85&lt;15,1,0)</f>
        <v>0</v>
      </c>
      <c r="AF15" s="236">
        <f t="shared" si="0"/>
        <v>1</v>
      </c>
      <c r="AG15" s="228">
        <f t="shared" si="0"/>
        <v>1</v>
      </c>
      <c r="AH15" s="228">
        <f t="shared" si="0"/>
        <v>0</v>
      </c>
      <c r="AI15" s="228">
        <f>Q15</f>
        <v>0</v>
      </c>
      <c r="AJ15" s="228">
        <f t="shared" si="1"/>
        <v>0</v>
      </c>
      <c r="AK15" s="237">
        <f t="shared" si="2"/>
        <v>0</v>
      </c>
      <c r="AL15" s="238">
        <f t="shared" si="16"/>
        <v>2</v>
      </c>
      <c r="AM15" s="263" t="str">
        <f>IF(AL15=6,E15,"")</f>
        <v/>
      </c>
      <c r="AN15" s="235">
        <f t="shared" si="17"/>
        <v>0</v>
      </c>
      <c r="AO15" s="236">
        <f t="shared" si="3"/>
        <v>1</v>
      </c>
      <c r="AP15" s="228">
        <f t="shared" si="3"/>
        <v>1</v>
      </c>
      <c r="AQ15" s="228">
        <f>P15</f>
        <v>0</v>
      </c>
      <c r="AR15" s="228">
        <f t="shared" si="3"/>
        <v>0</v>
      </c>
      <c r="AS15" s="228">
        <f t="shared" si="4"/>
        <v>0</v>
      </c>
      <c r="AT15" s="237">
        <f t="shared" si="5"/>
        <v>0</v>
      </c>
      <c r="AU15" s="238">
        <f t="shared" si="18"/>
        <v>2</v>
      </c>
      <c r="AV15" s="239" t="str">
        <f>IF(AU15=6,E15,"")</f>
        <v/>
      </c>
      <c r="AW15" s="235">
        <f t="shared" si="19"/>
        <v>0</v>
      </c>
      <c r="AX15" s="236">
        <f t="shared" si="6"/>
        <v>1</v>
      </c>
      <c r="AY15" s="228">
        <f t="shared" si="7"/>
        <v>1</v>
      </c>
      <c r="AZ15" s="228">
        <f t="shared" si="7"/>
        <v>0</v>
      </c>
      <c r="BA15" s="228">
        <f t="shared" si="7"/>
        <v>0</v>
      </c>
      <c r="BB15" s="228">
        <f t="shared" si="8"/>
        <v>0</v>
      </c>
      <c r="BC15" s="228">
        <f t="shared" si="9"/>
        <v>0</v>
      </c>
      <c r="BD15" s="242">
        <f t="shared" si="20"/>
        <v>2</v>
      </c>
      <c r="BE15" s="264" t="str">
        <f>IF(BD15=6,E15,"")</f>
        <v/>
      </c>
      <c r="BF15" s="235">
        <f t="shared" si="21"/>
        <v>0</v>
      </c>
      <c r="BG15" s="231">
        <f t="shared" si="10"/>
        <v>1</v>
      </c>
      <c r="BH15" s="202">
        <f t="shared" si="10"/>
        <v>1</v>
      </c>
      <c r="BI15" s="202">
        <f t="shared" si="11"/>
        <v>0</v>
      </c>
      <c r="BJ15" s="202">
        <f t="shared" si="11"/>
        <v>0</v>
      </c>
      <c r="BK15" s="202">
        <f t="shared" si="12"/>
        <v>0</v>
      </c>
      <c r="BL15" s="232">
        <f t="shared" si="13"/>
        <v>0</v>
      </c>
      <c r="BM15" s="265">
        <f t="shared" si="22"/>
        <v>2</v>
      </c>
      <c r="BN15" s="266" t="str">
        <f>IF(BM15=6,E15,"")</f>
        <v/>
      </c>
      <c r="BO15" s="235">
        <f t="shared" si="23"/>
        <v>0</v>
      </c>
      <c r="BP15" s="235"/>
      <c r="BQ15" s="244">
        <f t="shared" si="24"/>
        <v>0</v>
      </c>
      <c r="BR15" s="259" t="str">
        <f>IF(BQ15=0,"",E15)</f>
        <v/>
      </c>
      <c r="BS15" s="260" t="str">
        <f t="shared" si="25"/>
        <v/>
      </c>
      <c r="BT15" s="230">
        <f t="shared" si="26"/>
        <v>0</v>
      </c>
      <c r="BU15" s="1286">
        <f>BT15+BT16</f>
        <v>0</v>
      </c>
      <c r="BV15" s="1281">
        <f>IF(BW15="",0,1)</f>
        <v>0</v>
      </c>
      <c r="BW15" s="1282" t="str">
        <f>IF(BU15=0,"",E15)</f>
        <v/>
      </c>
    </row>
    <row r="16" spans="1:75" ht="17.25" customHeight="1">
      <c r="A16" s="1241"/>
      <c r="B16" s="223"/>
      <c r="C16" s="282"/>
      <c r="D16" s="262" t="s">
        <v>222</v>
      </c>
      <c r="E16" s="1246"/>
      <c r="F16" s="1248"/>
      <c r="G16" s="1250"/>
      <c r="H16" s="1252"/>
      <c r="I16" s="1254"/>
      <c r="J16" s="224"/>
      <c r="K16" s="225"/>
      <c r="L16" s="226" t="s">
        <v>240</v>
      </c>
      <c r="M16" s="248" t="s">
        <v>153</v>
      </c>
      <c r="N16" s="280">
        <f>IF(C90&lt;50,1,0)</f>
        <v>1</v>
      </c>
      <c r="O16" s="249">
        <f>IF((B82/2)&gt;C89,1,0)</f>
        <v>1</v>
      </c>
      <c r="P16" s="250">
        <f>IF((P13+Q13=2),0,1)</f>
        <v>0</v>
      </c>
      <c r="Q16" s="255">
        <f>IF((P13+Q13=2),0,1)</f>
        <v>0</v>
      </c>
      <c r="R16" s="202" t="s">
        <v>217</v>
      </c>
      <c r="S16" s="202" t="s">
        <v>217</v>
      </c>
      <c r="T16" s="202" t="s">
        <v>217</v>
      </c>
      <c r="U16" s="249">
        <f>IF(C90&lt;5,1,0)</f>
        <v>0</v>
      </c>
      <c r="V16" s="249" t="s">
        <v>217</v>
      </c>
      <c r="W16" s="249" t="s">
        <v>217</v>
      </c>
      <c r="X16" s="249" t="s">
        <v>217</v>
      </c>
      <c r="Y16" s="249">
        <f t="shared" si="14"/>
        <v>0</v>
      </c>
      <c r="Z16" s="202">
        <f>IF(C90&gt;=5,1,0)</f>
        <v>1</v>
      </c>
      <c r="AA16" s="202">
        <f>IF(C90&lt;=12,1,0)</f>
        <v>0</v>
      </c>
      <c r="AB16" s="202">
        <f t="shared" si="15"/>
        <v>1</v>
      </c>
      <c r="AC16" s="230" t="s">
        <v>217</v>
      </c>
      <c r="AD16" s="230">
        <f>IF(C85&gt;=15,1,0)</f>
        <v>1</v>
      </c>
      <c r="AF16" s="254">
        <f t="shared" si="0"/>
        <v>1</v>
      </c>
      <c r="AG16" s="250">
        <f t="shared" si="0"/>
        <v>1</v>
      </c>
      <c r="AH16" s="250">
        <f t="shared" si="0"/>
        <v>0</v>
      </c>
      <c r="AI16" s="250">
        <f>Q16</f>
        <v>0</v>
      </c>
      <c r="AJ16" s="250">
        <f t="shared" si="1"/>
        <v>0</v>
      </c>
      <c r="AK16" s="255">
        <f t="shared" si="2"/>
        <v>1</v>
      </c>
      <c r="AL16" s="267">
        <f t="shared" si="16"/>
        <v>3</v>
      </c>
      <c r="AM16" s="268" t="str">
        <f>IF(AL16=6,E15,"")</f>
        <v/>
      </c>
      <c r="AN16" s="235">
        <f t="shared" si="17"/>
        <v>0</v>
      </c>
      <c r="AO16" s="254">
        <f t="shared" si="3"/>
        <v>1</v>
      </c>
      <c r="AP16" s="250">
        <f t="shared" si="3"/>
        <v>1</v>
      </c>
      <c r="AQ16" s="250">
        <f>P16</f>
        <v>0</v>
      </c>
      <c r="AR16" s="250">
        <f t="shared" si="3"/>
        <v>0</v>
      </c>
      <c r="AS16" s="250">
        <f t="shared" si="4"/>
        <v>0</v>
      </c>
      <c r="AT16" s="255">
        <f t="shared" si="5"/>
        <v>1</v>
      </c>
      <c r="AU16" s="267">
        <f t="shared" si="18"/>
        <v>3</v>
      </c>
      <c r="AV16" s="269" t="str">
        <f>IF(AU16=6,E15,"")</f>
        <v/>
      </c>
      <c r="AW16" s="235">
        <f t="shared" si="19"/>
        <v>0</v>
      </c>
      <c r="AX16" s="254">
        <f t="shared" si="6"/>
        <v>1</v>
      </c>
      <c r="AY16" s="250">
        <f t="shared" si="7"/>
        <v>1</v>
      </c>
      <c r="AZ16" s="250">
        <f t="shared" si="7"/>
        <v>0</v>
      </c>
      <c r="BA16" s="250">
        <f t="shared" si="7"/>
        <v>0</v>
      </c>
      <c r="BB16" s="250">
        <f t="shared" si="8"/>
        <v>0</v>
      </c>
      <c r="BC16" s="250">
        <f t="shared" si="9"/>
        <v>1</v>
      </c>
      <c r="BD16" s="256">
        <f t="shared" si="20"/>
        <v>3</v>
      </c>
      <c r="BE16" s="264" t="str">
        <f>IF(BD16=6,E15,"")</f>
        <v/>
      </c>
      <c r="BF16" s="235">
        <f t="shared" si="21"/>
        <v>0</v>
      </c>
      <c r="BG16" s="231">
        <f t="shared" si="10"/>
        <v>1</v>
      </c>
      <c r="BH16" s="202">
        <f t="shared" si="10"/>
        <v>1</v>
      </c>
      <c r="BI16" s="202">
        <f t="shared" si="11"/>
        <v>0</v>
      </c>
      <c r="BJ16" s="202">
        <f t="shared" si="11"/>
        <v>0</v>
      </c>
      <c r="BK16" s="202">
        <f t="shared" si="12"/>
        <v>0</v>
      </c>
      <c r="BL16" s="232">
        <f t="shared" si="13"/>
        <v>1</v>
      </c>
      <c r="BM16" s="265">
        <f t="shared" si="22"/>
        <v>3</v>
      </c>
      <c r="BN16" s="266" t="str">
        <f>IF(BM16=6,E15,"")</f>
        <v/>
      </c>
      <c r="BO16" s="235">
        <f t="shared" si="23"/>
        <v>0</v>
      </c>
      <c r="BP16" s="235"/>
      <c r="BQ16" s="258">
        <f t="shared" si="24"/>
        <v>0</v>
      </c>
      <c r="BR16" s="259" t="str">
        <f>IF(BQ16=0,"",E15)</f>
        <v/>
      </c>
      <c r="BS16" s="260" t="str">
        <f t="shared" si="25"/>
        <v/>
      </c>
      <c r="BT16" s="230">
        <f t="shared" si="26"/>
        <v>0</v>
      </c>
      <c r="BU16" s="1286"/>
      <c r="BV16" s="1281"/>
      <c r="BW16" s="1282"/>
    </row>
    <row r="17" spans="1:75" ht="17.25" customHeight="1">
      <c r="A17" s="1241"/>
      <c r="B17" s="223"/>
      <c r="C17" s="281"/>
      <c r="D17" s="262" t="s">
        <v>245</v>
      </c>
      <c r="E17" s="1255" t="s">
        <v>134</v>
      </c>
      <c r="F17" s="1256" t="s">
        <v>246</v>
      </c>
      <c r="G17" s="1291" t="s">
        <v>225</v>
      </c>
      <c r="H17" s="283"/>
      <c r="I17" s="1285" t="s">
        <v>226</v>
      </c>
      <c r="J17" s="224"/>
      <c r="K17" s="225"/>
      <c r="L17" s="226" t="s">
        <v>238</v>
      </c>
      <c r="M17" s="248" t="s">
        <v>154</v>
      </c>
      <c r="N17" s="280">
        <f>IF(C90&lt;50,1,0)</f>
        <v>1</v>
      </c>
      <c r="O17" s="249">
        <f>IF((B82/2)&gt;C89,1,0)</f>
        <v>1</v>
      </c>
      <c r="P17" s="228">
        <f>IF(C94&lt;4,1,0)</f>
        <v>0</v>
      </c>
      <c r="Q17" s="229">
        <f>IF(T17=2,1,0)</f>
        <v>0</v>
      </c>
      <c r="R17" s="202">
        <f>IF(C94&gt;=4,1,0)</f>
        <v>1</v>
      </c>
      <c r="S17" s="202">
        <f>IF(C94&lt;=7,1,0)</f>
        <v>0</v>
      </c>
      <c r="T17" s="202">
        <f>R17+S17</f>
        <v>1</v>
      </c>
      <c r="U17" s="229">
        <f>IF(C90&gt;12,1,0)</f>
        <v>1</v>
      </c>
      <c r="V17" s="249" t="s">
        <v>217</v>
      </c>
      <c r="W17" s="249" t="s">
        <v>217</v>
      </c>
      <c r="X17" s="249" t="s">
        <v>217</v>
      </c>
      <c r="Y17" s="249">
        <f t="shared" si="14"/>
        <v>0</v>
      </c>
      <c r="Z17" s="202">
        <f>IF(C90&gt;=5,1,0)</f>
        <v>1</v>
      </c>
      <c r="AA17" s="202">
        <f>IF(C90&lt;=12,1,0)</f>
        <v>0</v>
      </c>
      <c r="AB17" s="202">
        <f t="shared" si="15"/>
        <v>1</v>
      </c>
      <c r="AC17" s="230" t="s">
        <v>217</v>
      </c>
      <c r="AD17" s="230">
        <f>IF(C85&lt;15,1,0)</f>
        <v>0</v>
      </c>
      <c r="AF17" s="231">
        <f t="shared" si="0"/>
        <v>1</v>
      </c>
      <c r="AG17" s="202">
        <f t="shared" si="0"/>
        <v>1</v>
      </c>
      <c r="AH17" s="202">
        <f t="shared" si="0"/>
        <v>0</v>
      </c>
      <c r="AI17" s="202" t="s">
        <v>217</v>
      </c>
      <c r="AJ17" s="202">
        <f t="shared" si="1"/>
        <v>1</v>
      </c>
      <c r="AK17" s="232">
        <f t="shared" si="2"/>
        <v>0</v>
      </c>
      <c r="AL17" s="233">
        <f t="shared" si="16"/>
        <v>3</v>
      </c>
      <c r="AM17" s="234" t="str">
        <f>IF(AL17=5,E17,"")</f>
        <v/>
      </c>
      <c r="AN17" s="235">
        <f t="shared" si="17"/>
        <v>0</v>
      </c>
      <c r="AO17" s="231">
        <f t="shared" si="3"/>
        <v>1</v>
      </c>
      <c r="AP17" s="202">
        <f t="shared" si="3"/>
        <v>1</v>
      </c>
      <c r="AQ17" s="202" t="s">
        <v>217</v>
      </c>
      <c r="AR17" s="202">
        <f t="shared" si="3"/>
        <v>0</v>
      </c>
      <c r="AS17" s="202">
        <f t="shared" si="4"/>
        <v>1</v>
      </c>
      <c r="AT17" s="232">
        <f t="shared" si="5"/>
        <v>0</v>
      </c>
      <c r="AU17" s="233">
        <f t="shared" si="18"/>
        <v>3</v>
      </c>
      <c r="AV17" s="252" t="str">
        <f>IF(AU17=5,E17,"")</f>
        <v/>
      </c>
      <c r="AW17" s="235">
        <f t="shared" si="19"/>
        <v>0</v>
      </c>
      <c r="AX17" s="231">
        <f t="shared" si="6"/>
        <v>1</v>
      </c>
      <c r="AY17" s="202">
        <f t="shared" si="7"/>
        <v>1</v>
      </c>
      <c r="AZ17" s="202">
        <f t="shared" si="7"/>
        <v>0</v>
      </c>
      <c r="BA17" s="202" t="str">
        <f t="shared" si="7"/>
        <v>-</v>
      </c>
      <c r="BB17" s="202">
        <f t="shared" si="8"/>
        <v>0</v>
      </c>
      <c r="BC17" s="202">
        <f t="shared" si="9"/>
        <v>0</v>
      </c>
      <c r="BD17" s="240">
        <f t="shared" si="20"/>
        <v>2</v>
      </c>
      <c r="BE17" s="241" t="str">
        <f>IF(BD17=5,E17,"")</f>
        <v/>
      </c>
      <c r="BF17" s="235">
        <f t="shared" si="21"/>
        <v>0</v>
      </c>
      <c r="BG17" s="236">
        <f t="shared" si="10"/>
        <v>1</v>
      </c>
      <c r="BH17" s="228">
        <f t="shared" si="10"/>
        <v>1</v>
      </c>
      <c r="BI17" s="228" t="str">
        <f t="shared" si="11"/>
        <v>-</v>
      </c>
      <c r="BJ17" s="228">
        <f t="shared" si="11"/>
        <v>0</v>
      </c>
      <c r="BK17" s="228">
        <f t="shared" si="12"/>
        <v>0</v>
      </c>
      <c r="BL17" s="237">
        <f t="shared" si="13"/>
        <v>0</v>
      </c>
      <c r="BM17" s="242">
        <f t="shared" si="22"/>
        <v>2</v>
      </c>
      <c r="BN17" s="243" t="str">
        <f>IF(BM17=5,E17,"")</f>
        <v/>
      </c>
      <c r="BO17" s="235">
        <f t="shared" si="23"/>
        <v>0</v>
      </c>
      <c r="BP17" s="235"/>
      <c r="BQ17" s="271">
        <f t="shared" si="24"/>
        <v>0</v>
      </c>
      <c r="BR17" s="259" t="str">
        <f>IF(BQ17=0,"",E17)</f>
        <v/>
      </c>
      <c r="BS17" s="260" t="str">
        <f t="shared" si="25"/>
        <v/>
      </c>
      <c r="BT17" s="230">
        <f t="shared" si="26"/>
        <v>0</v>
      </c>
      <c r="BU17" s="1286">
        <f>BT17+BT18</f>
        <v>0</v>
      </c>
      <c r="BV17" s="1281">
        <f>IF(BW17="",0,1)</f>
        <v>0</v>
      </c>
      <c r="BW17" s="1282" t="str">
        <f>IF(BU17=0,"",E17)</f>
        <v/>
      </c>
    </row>
    <row r="18" spans="1:75" ht="17.25" customHeight="1">
      <c r="A18" s="1241"/>
      <c r="B18" s="223"/>
      <c r="C18" s="282"/>
      <c r="D18" s="262" t="s">
        <v>227</v>
      </c>
      <c r="E18" s="1246"/>
      <c r="F18" s="1248"/>
      <c r="G18" s="1292"/>
      <c r="H18" s="247">
        <v>1</v>
      </c>
      <c r="I18" s="1254"/>
      <c r="J18" s="224"/>
      <c r="K18" s="225"/>
      <c r="L18" s="226" t="s">
        <v>240</v>
      </c>
      <c r="M18" s="248" t="s">
        <v>155</v>
      </c>
      <c r="N18" s="280">
        <f>IF(C90&lt;50,1,0)</f>
        <v>1</v>
      </c>
      <c r="O18" s="249">
        <f>IF((B82/2)&gt;C89,1,0)</f>
        <v>1</v>
      </c>
      <c r="P18" s="202">
        <f>IF(C94&lt;4,1,0)</f>
        <v>0</v>
      </c>
      <c r="Q18" s="249">
        <f>IF(T18=2,1,0)</f>
        <v>0</v>
      </c>
      <c r="R18" s="202">
        <f>IF(C94&gt;=4,1,0)</f>
        <v>1</v>
      </c>
      <c r="S18" s="202">
        <f>IF(C94&lt;=7,1,0)</f>
        <v>0</v>
      </c>
      <c r="T18" s="202">
        <f>R18+S18</f>
        <v>1</v>
      </c>
      <c r="U18" s="251">
        <f>IF(C90&gt;12,1,0)</f>
        <v>1</v>
      </c>
      <c r="V18" s="249" t="s">
        <v>217</v>
      </c>
      <c r="W18" s="249" t="s">
        <v>217</v>
      </c>
      <c r="X18" s="249" t="s">
        <v>217</v>
      </c>
      <c r="Y18" s="249">
        <f t="shared" si="14"/>
        <v>0</v>
      </c>
      <c r="Z18" s="202">
        <f>IF(C90&gt;=5,1,0)</f>
        <v>1</v>
      </c>
      <c r="AA18" s="202">
        <f>IF(C90&lt;=12,1,0)</f>
        <v>0</v>
      </c>
      <c r="AB18" s="202">
        <f t="shared" si="15"/>
        <v>1</v>
      </c>
      <c r="AC18" s="230" t="s">
        <v>217</v>
      </c>
      <c r="AD18" s="230">
        <f>IF(C85&gt;=15,1,0)</f>
        <v>1</v>
      </c>
      <c r="AF18" s="231">
        <f t="shared" si="0"/>
        <v>1</v>
      </c>
      <c r="AG18" s="202">
        <f t="shared" si="0"/>
        <v>1</v>
      </c>
      <c r="AH18" s="202">
        <f t="shared" si="0"/>
        <v>0</v>
      </c>
      <c r="AI18" s="202" t="s">
        <v>217</v>
      </c>
      <c r="AJ18" s="202">
        <f t="shared" si="1"/>
        <v>1</v>
      </c>
      <c r="AK18" s="232">
        <f t="shared" si="2"/>
        <v>1</v>
      </c>
      <c r="AL18" s="233">
        <f t="shared" si="16"/>
        <v>4</v>
      </c>
      <c r="AM18" s="234" t="str">
        <f>IF(AL18=5,E17,"")</f>
        <v/>
      </c>
      <c r="AN18" s="235">
        <f t="shared" si="17"/>
        <v>0</v>
      </c>
      <c r="AO18" s="231">
        <f t="shared" si="3"/>
        <v>1</v>
      </c>
      <c r="AP18" s="202">
        <f t="shared" si="3"/>
        <v>1</v>
      </c>
      <c r="AQ18" s="202" t="s">
        <v>217</v>
      </c>
      <c r="AR18" s="202">
        <f t="shared" si="3"/>
        <v>0</v>
      </c>
      <c r="AS18" s="202">
        <f t="shared" si="4"/>
        <v>1</v>
      </c>
      <c r="AT18" s="232">
        <f t="shared" si="5"/>
        <v>1</v>
      </c>
      <c r="AU18" s="233">
        <f t="shared" si="18"/>
        <v>4</v>
      </c>
      <c r="AV18" s="252" t="str">
        <f>IF(AU18=5,E17,"")</f>
        <v/>
      </c>
      <c r="AW18" s="235">
        <f t="shared" si="19"/>
        <v>0</v>
      </c>
      <c r="AX18" s="231">
        <f t="shared" si="6"/>
        <v>1</v>
      </c>
      <c r="AY18" s="202">
        <f t="shared" si="7"/>
        <v>1</v>
      </c>
      <c r="AZ18" s="202">
        <f t="shared" si="7"/>
        <v>0</v>
      </c>
      <c r="BA18" s="202" t="str">
        <f t="shared" si="7"/>
        <v>-</v>
      </c>
      <c r="BB18" s="202">
        <f t="shared" si="8"/>
        <v>0</v>
      </c>
      <c r="BC18" s="202">
        <f t="shared" si="9"/>
        <v>1</v>
      </c>
      <c r="BD18" s="240">
        <f t="shared" si="20"/>
        <v>3</v>
      </c>
      <c r="BE18" s="253" t="str">
        <f>IF(BD18=5,E17,"")</f>
        <v/>
      </c>
      <c r="BF18" s="235">
        <f t="shared" si="21"/>
        <v>0</v>
      </c>
      <c r="BG18" s="254">
        <f t="shared" si="10"/>
        <v>1</v>
      </c>
      <c r="BH18" s="250">
        <f t="shared" si="10"/>
        <v>1</v>
      </c>
      <c r="BI18" s="250" t="str">
        <f t="shared" si="11"/>
        <v>-</v>
      </c>
      <c r="BJ18" s="250">
        <f t="shared" si="11"/>
        <v>0</v>
      </c>
      <c r="BK18" s="250">
        <f t="shared" si="12"/>
        <v>0</v>
      </c>
      <c r="BL18" s="255">
        <f t="shared" si="13"/>
        <v>1</v>
      </c>
      <c r="BM18" s="256">
        <f t="shared" si="22"/>
        <v>3</v>
      </c>
      <c r="BN18" s="257" t="str">
        <f>IF(BM18=5,E17,"")</f>
        <v/>
      </c>
      <c r="BO18" s="235">
        <f t="shared" si="23"/>
        <v>0</v>
      </c>
      <c r="BP18" s="235"/>
      <c r="BQ18" s="271">
        <f t="shared" si="24"/>
        <v>0</v>
      </c>
      <c r="BR18" s="259" t="str">
        <f>IF(BQ18=0,"",E17)</f>
        <v/>
      </c>
      <c r="BS18" s="260" t="str">
        <f t="shared" si="25"/>
        <v/>
      </c>
      <c r="BT18" s="230">
        <f t="shared" si="26"/>
        <v>0</v>
      </c>
      <c r="BU18" s="1286"/>
      <c r="BV18" s="1281"/>
      <c r="BW18" s="1282"/>
    </row>
    <row r="19" spans="1:75" ht="17.25" customHeight="1">
      <c r="A19" s="1241"/>
      <c r="B19" s="223"/>
      <c r="C19" s="282"/>
      <c r="D19" s="223"/>
      <c r="E19" s="1255" t="s">
        <v>135</v>
      </c>
      <c r="F19" s="1256" t="s">
        <v>247</v>
      </c>
      <c r="G19" s="1291" t="s">
        <v>231</v>
      </c>
      <c r="H19" s="284" t="s">
        <v>248</v>
      </c>
      <c r="I19" s="1285" t="s">
        <v>226</v>
      </c>
      <c r="J19" s="224"/>
      <c r="K19" s="225"/>
      <c r="L19" s="226" t="s">
        <v>238</v>
      </c>
      <c r="M19" s="248" t="s">
        <v>156</v>
      </c>
      <c r="N19" s="280">
        <f>IF(C90&lt;50,1,0)</f>
        <v>1</v>
      </c>
      <c r="O19" s="249">
        <f>IF((B82/2)&gt;C89,1,0)</f>
        <v>1</v>
      </c>
      <c r="P19" s="228">
        <f>IF(C94&gt;7,1,0)</f>
        <v>1</v>
      </c>
      <c r="Q19" s="249">
        <f>IF(T19=2,1,0)</f>
        <v>0</v>
      </c>
      <c r="R19" s="202">
        <f>IF(C94&gt;=4,1,0)</f>
        <v>1</v>
      </c>
      <c r="S19" s="202">
        <f>IF(C94&lt;=7,1,0)</f>
        <v>0</v>
      </c>
      <c r="T19" s="202">
        <f>R19+S19</f>
        <v>1</v>
      </c>
      <c r="U19" s="249">
        <f>IF(C90&gt;12,1,0)</f>
        <v>1</v>
      </c>
      <c r="V19" s="249" t="s">
        <v>217</v>
      </c>
      <c r="W19" s="249" t="s">
        <v>217</v>
      </c>
      <c r="X19" s="249" t="s">
        <v>217</v>
      </c>
      <c r="Y19" s="249">
        <f t="shared" si="14"/>
        <v>0</v>
      </c>
      <c r="Z19" s="202">
        <f>IF(C90&gt;=5,1,0)</f>
        <v>1</v>
      </c>
      <c r="AA19" s="202">
        <f>IF(C90&lt;=12,1,0)</f>
        <v>0</v>
      </c>
      <c r="AB19" s="202">
        <f t="shared" si="15"/>
        <v>1</v>
      </c>
      <c r="AC19" s="230" t="s">
        <v>217</v>
      </c>
      <c r="AD19" s="230">
        <f>IF(C85&lt;15,1,0)</f>
        <v>0</v>
      </c>
      <c r="AF19" s="236">
        <f t="shared" si="0"/>
        <v>1</v>
      </c>
      <c r="AG19" s="228">
        <f t="shared" si="0"/>
        <v>1</v>
      </c>
      <c r="AH19" s="228">
        <f t="shared" si="0"/>
        <v>1</v>
      </c>
      <c r="AI19" s="228" t="s">
        <v>217</v>
      </c>
      <c r="AJ19" s="228">
        <f t="shared" si="1"/>
        <v>1</v>
      </c>
      <c r="AK19" s="237">
        <f t="shared" si="2"/>
        <v>0</v>
      </c>
      <c r="AL19" s="238">
        <f t="shared" si="16"/>
        <v>4</v>
      </c>
      <c r="AM19" s="263" t="str">
        <f>IF(AL19=5,E19,"")</f>
        <v/>
      </c>
      <c r="AN19" s="235">
        <f t="shared" si="17"/>
        <v>0</v>
      </c>
      <c r="AO19" s="236">
        <f t="shared" si="3"/>
        <v>1</v>
      </c>
      <c r="AP19" s="228">
        <f t="shared" si="3"/>
        <v>1</v>
      </c>
      <c r="AQ19" s="228" t="s">
        <v>217</v>
      </c>
      <c r="AR19" s="228">
        <f t="shared" si="3"/>
        <v>0</v>
      </c>
      <c r="AS19" s="228">
        <f t="shared" si="4"/>
        <v>1</v>
      </c>
      <c r="AT19" s="237">
        <f t="shared" si="5"/>
        <v>0</v>
      </c>
      <c r="AU19" s="238">
        <f t="shared" si="18"/>
        <v>3</v>
      </c>
      <c r="AV19" s="239" t="str">
        <f>IF(AU19=5,E19,"")</f>
        <v/>
      </c>
      <c r="AW19" s="235">
        <f t="shared" si="19"/>
        <v>0</v>
      </c>
      <c r="AX19" s="236">
        <f t="shared" si="6"/>
        <v>1</v>
      </c>
      <c r="AY19" s="228">
        <f t="shared" si="7"/>
        <v>1</v>
      </c>
      <c r="AZ19" s="228">
        <f t="shared" si="7"/>
        <v>1</v>
      </c>
      <c r="BA19" s="228" t="str">
        <f t="shared" si="7"/>
        <v>-</v>
      </c>
      <c r="BB19" s="228">
        <f t="shared" si="8"/>
        <v>0</v>
      </c>
      <c r="BC19" s="228">
        <f t="shared" si="9"/>
        <v>0</v>
      </c>
      <c r="BD19" s="242">
        <f t="shared" si="20"/>
        <v>3</v>
      </c>
      <c r="BE19" s="241" t="str">
        <f>IF(BD19=5,E19,"")</f>
        <v/>
      </c>
      <c r="BF19" s="235">
        <f t="shared" si="21"/>
        <v>0</v>
      </c>
      <c r="BG19" s="231">
        <f t="shared" si="10"/>
        <v>1</v>
      </c>
      <c r="BH19" s="202">
        <f t="shared" si="10"/>
        <v>1</v>
      </c>
      <c r="BI19" s="202" t="str">
        <f t="shared" si="11"/>
        <v>-</v>
      </c>
      <c r="BJ19" s="202">
        <f t="shared" si="11"/>
        <v>0</v>
      </c>
      <c r="BK19" s="202">
        <f t="shared" si="12"/>
        <v>0</v>
      </c>
      <c r="BL19" s="232">
        <f t="shared" si="13"/>
        <v>0</v>
      </c>
      <c r="BM19" s="265">
        <f t="shared" si="22"/>
        <v>2</v>
      </c>
      <c r="BN19" s="266" t="str">
        <f>IF(BM19=5,E19,"")</f>
        <v/>
      </c>
      <c r="BO19" s="235">
        <f t="shared" si="23"/>
        <v>0</v>
      </c>
      <c r="BP19" s="235"/>
      <c r="BQ19" s="244">
        <f t="shared" si="24"/>
        <v>0</v>
      </c>
      <c r="BR19" s="259" t="str">
        <f>IF(BQ19=0,"",E19)</f>
        <v/>
      </c>
      <c r="BS19" s="260" t="str">
        <f t="shared" si="25"/>
        <v/>
      </c>
      <c r="BT19" s="230">
        <f t="shared" si="26"/>
        <v>0</v>
      </c>
      <c r="BU19" s="1286">
        <f>BT19+BT20</f>
        <v>1</v>
      </c>
      <c r="BV19" s="1281">
        <f>IF(BW19="",0,1)</f>
        <v>1</v>
      </c>
      <c r="BW19" s="1282" t="str">
        <f>IF(BU19=0,"",E19)</f>
        <v>SC</v>
      </c>
    </row>
    <row r="20" spans="1:75" ht="15.75" customHeight="1">
      <c r="A20" s="1244"/>
      <c r="B20" s="285"/>
      <c r="C20" s="282"/>
      <c r="D20" s="286"/>
      <c r="E20" s="1246"/>
      <c r="F20" s="1248"/>
      <c r="G20" s="1292"/>
      <c r="H20" s="287"/>
      <c r="I20" s="1254"/>
      <c r="J20" s="224"/>
      <c r="K20" s="225"/>
      <c r="L20" s="226" t="s">
        <v>240</v>
      </c>
      <c r="M20" s="288" t="s">
        <v>157</v>
      </c>
      <c r="N20" s="289">
        <f>IF(C90&lt;50,1,0)</f>
        <v>1</v>
      </c>
      <c r="O20" s="251">
        <f>IF((B82/2)&gt;C89,1,0)</f>
        <v>1</v>
      </c>
      <c r="P20" s="250">
        <f>IF(C94&gt;7,1,0)</f>
        <v>1</v>
      </c>
      <c r="Q20" s="251">
        <f>IF(T20=2,1,0)</f>
        <v>0</v>
      </c>
      <c r="R20" s="254">
        <f>IF(C94&gt;=4,1,0)</f>
        <v>1</v>
      </c>
      <c r="S20" s="250">
        <f>IF(C94&lt;=7,1,0)</f>
        <v>0</v>
      </c>
      <c r="T20" s="250">
        <f>R20+S20</f>
        <v>1</v>
      </c>
      <c r="U20" s="251">
        <f>IF(C90&gt;12,1,0)</f>
        <v>1</v>
      </c>
      <c r="V20" s="251" t="s">
        <v>217</v>
      </c>
      <c r="W20" s="251" t="s">
        <v>217</v>
      </c>
      <c r="X20" s="251" t="s">
        <v>217</v>
      </c>
      <c r="Y20" s="251">
        <f t="shared" si="14"/>
        <v>0</v>
      </c>
      <c r="Z20" s="250">
        <f>IF(C90&gt;=5,1,0)</f>
        <v>1</v>
      </c>
      <c r="AA20" s="250">
        <f>IF(C90&lt;=12,1,0)</f>
        <v>0</v>
      </c>
      <c r="AB20" s="250">
        <f t="shared" si="15"/>
        <v>1</v>
      </c>
      <c r="AC20" s="230" t="s">
        <v>217</v>
      </c>
      <c r="AD20" s="230">
        <f>IF(C85&gt;=15,1,0)</f>
        <v>1</v>
      </c>
      <c r="AF20" s="254">
        <f t="shared" ref="AF20:AH20" si="29">N20</f>
        <v>1</v>
      </c>
      <c r="AG20" s="250">
        <f t="shared" si="29"/>
        <v>1</v>
      </c>
      <c r="AH20" s="250">
        <f t="shared" si="29"/>
        <v>1</v>
      </c>
      <c r="AI20" s="250" t="s">
        <v>217</v>
      </c>
      <c r="AJ20" s="250">
        <f t="shared" si="1"/>
        <v>1</v>
      </c>
      <c r="AK20" s="255">
        <f t="shared" si="2"/>
        <v>1</v>
      </c>
      <c r="AL20" s="267">
        <f t="shared" si="16"/>
        <v>5</v>
      </c>
      <c r="AM20" s="268" t="str">
        <f>IF(AL20=5,E19,"")</f>
        <v>SC</v>
      </c>
      <c r="AN20" s="235">
        <f t="shared" si="17"/>
        <v>1</v>
      </c>
      <c r="AO20" s="254">
        <f t="shared" ref="AO20:AP20" si="30">N20</f>
        <v>1</v>
      </c>
      <c r="AP20" s="250">
        <f t="shared" si="30"/>
        <v>1</v>
      </c>
      <c r="AQ20" s="250" t="s">
        <v>217</v>
      </c>
      <c r="AR20" s="250">
        <f t="shared" ref="AR20" si="31">Q20</f>
        <v>0</v>
      </c>
      <c r="AS20" s="250">
        <f t="shared" si="4"/>
        <v>1</v>
      </c>
      <c r="AT20" s="255">
        <f t="shared" si="5"/>
        <v>1</v>
      </c>
      <c r="AU20" s="267">
        <f t="shared" si="18"/>
        <v>4</v>
      </c>
      <c r="AV20" s="269" t="str">
        <f>IF(AU20=5,E19,"")</f>
        <v/>
      </c>
      <c r="AW20" s="235">
        <f t="shared" si="19"/>
        <v>0</v>
      </c>
      <c r="AX20" s="254">
        <f t="shared" si="6"/>
        <v>1</v>
      </c>
      <c r="AY20" s="250">
        <f t="shared" si="7"/>
        <v>1</v>
      </c>
      <c r="AZ20" s="250">
        <f t="shared" si="7"/>
        <v>1</v>
      </c>
      <c r="BA20" s="250" t="str">
        <f t="shared" si="7"/>
        <v>-</v>
      </c>
      <c r="BB20" s="250">
        <f t="shared" si="8"/>
        <v>0</v>
      </c>
      <c r="BC20" s="250">
        <f t="shared" si="9"/>
        <v>1</v>
      </c>
      <c r="BD20" s="256">
        <f t="shared" si="20"/>
        <v>4</v>
      </c>
      <c r="BE20" s="253" t="str">
        <f>IF(BD20=5,E19,"")</f>
        <v/>
      </c>
      <c r="BF20" s="235">
        <f t="shared" si="21"/>
        <v>0</v>
      </c>
      <c r="BG20" s="254">
        <f t="shared" si="10"/>
        <v>1</v>
      </c>
      <c r="BH20" s="250">
        <f t="shared" si="10"/>
        <v>1</v>
      </c>
      <c r="BI20" s="250" t="str">
        <f t="shared" si="11"/>
        <v>-</v>
      </c>
      <c r="BJ20" s="250">
        <f t="shared" si="11"/>
        <v>0</v>
      </c>
      <c r="BK20" s="250">
        <f t="shared" si="12"/>
        <v>0</v>
      </c>
      <c r="BL20" s="255">
        <f t="shared" si="13"/>
        <v>1</v>
      </c>
      <c r="BM20" s="290">
        <f t="shared" si="22"/>
        <v>3</v>
      </c>
      <c r="BN20" s="257" t="str">
        <f>IF(BM20=5,E19,"")</f>
        <v/>
      </c>
      <c r="BO20" s="235">
        <f t="shared" si="23"/>
        <v>0</v>
      </c>
      <c r="BP20" s="235"/>
      <c r="BQ20" s="258">
        <f t="shared" si="24"/>
        <v>1</v>
      </c>
      <c r="BR20" s="259" t="str">
        <f>IF(BQ20=0,"",E19)</f>
        <v>SC</v>
      </c>
      <c r="BS20" s="291" t="str">
        <f t="shared" si="25"/>
        <v>Arena arcillosa con grava</v>
      </c>
      <c r="BT20" s="230">
        <f t="shared" si="26"/>
        <v>1</v>
      </c>
      <c r="BU20" s="1286"/>
      <c r="BV20" s="1281"/>
      <c r="BW20" s="1282"/>
    </row>
    <row r="21" spans="1:75" ht="16.5" hidden="1" customHeight="1">
      <c r="A21" s="292"/>
      <c r="B21" s="293"/>
      <c r="C21" s="294"/>
      <c r="D21" s="295"/>
      <c r="E21" s="296"/>
      <c r="F21" s="297"/>
      <c r="G21" s="295"/>
      <c r="H21" s="298"/>
      <c r="I21" s="299"/>
      <c r="J21" s="298"/>
      <c r="K21" s="295"/>
      <c r="L21" s="295"/>
      <c r="M21" s="300"/>
      <c r="N21" s="295"/>
      <c r="O21" s="301"/>
      <c r="P21" s="295"/>
      <c r="Q21" s="295"/>
      <c r="R21" s="295"/>
      <c r="S21" s="295"/>
      <c r="T21" s="295"/>
      <c r="U21" s="295"/>
      <c r="V21" s="295"/>
      <c r="W21" s="295"/>
      <c r="X21" s="295"/>
      <c r="Y21" s="295"/>
      <c r="Z21" s="295"/>
      <c r="AA21" s="295"/>
      <c r="AB21" s="295"/>
      <c r="AC21" s="295"/>
      <c r="AD21" s="302"/>
      <c r="AF21" s="231"/>
      <c r="AG21" s="202"/>
      <c r="AH21" s="202"/>
      <c r="AI21" s="202"/>
      <c r="AJ21" s="202"/>
      <c r="AK21" s="202"/>
      <c r="AL21" s="233"/>
      <c r="AM21" s="303"/>
      <c r="AN21" s="235"/>
      <c r="AO21" s="202"/>
      <c r="AP21" s="202"/>
      <c r="AQ21" s="202"/>
      <c r="AR21" s="202"/>
      <c r="AS21" s="202"/>
      <c r="AT21" s="202"/>
      <c r="AU21" s="233"/>
      <c r="AV21" s="303"/>
      <c r="AW21" s="235"/>
      <c r="AX21" s="202"/>
      <c r="AY21" s="202"/>
      <c r="AZ21" s="202"/>
      <c r="BA21" s="202"/>
      <c r="BB21" s="202"/>
      <c r="BC21" s="202"/>
      <c r="BD21" s="233"/>
      <c r="BE21" s="304"/>
      <c r="BF21" s="235"/>
      <c r="BG21" s="202"/>
      <c r="BH21" s="202"/>
      <c r="BI21" s="202"/>
      <c r="BJ21" s="202"/>
      <c r="BK21" s="202"/>
      <c r="BL21" s="202"/>
      <c r="BM21" s="233"/>
      <c r="BN21" s="304"/>
      <c r="BO21" s="235"/>
      <c r="BP21" s="235"/>
      <c r="BQ21" s="271"/>
      <c r="BR21" s="259"/>
      <c r="BS21" s="291"/>
      <c r="BT21" s="230">
        <f t="shared" si="26"/>
        <v>0</v>
      </c>
      <c r="BU21" s="305"/>
      <c r="BV21" s="306"/>
      <c r="BW21" s="307"/>
    </row>
    <row r="22" spans="1:75" ht="16.5" hidden="1" customHeight="1">
      <c r="A22" s="308"/>
      <c r="B22" s="309"/>
      <c r="C22" s="310"/>
      <c r="D22" s="301"/>
      <c r="E22" s="311"/>
      <c r="F22" s="312"/>
      <c r="G22" s="301"/>
      <c r="H22" s="313"/>
      <c r="I22" s="314"/>
      <c r="J22" s="313"/>
      <c r="K22" s="301"/>
      <c r="L22" s="301"/>
      <c r="M22" s="315"/>
      <c r="N22" s="301"/>
      <c r="O22" s="301"/>
      <c r="P22" s="301"/>
      <c r="Q22" s="301"/>
      <c r="R22" s="301"/>
      <c r="S22" s="301"/>
      <c r="T22" s="301"/>
      <c r="U22" s="301"/>
      <c r="V22" s="301"/>
      <c r="W22" s="301"/>
      <c r="X22" s="301"/>
      <c r="Y22" s="301"/>
      <c r="Z22" s="301"/>
      <c r="AA22" s="301"/>
      <c r="AB22" s="301"/>
      <c r="AC22" s="301"/>
      <c r="AD22" s="316"/>
      <c r="AF22" s="1237" t="s">
        <v>249</v>
      </c>
      <c r="AG22" s="1238"/>
      <c r="AH22" s="1238"/>
      <c r="AI22" s="1238"/>
      <c r="AJ22" s="1238"/>
      <c r="AK22" s="1238"/>
      <c r="AL22" s="1238"/>
      <c r="AM22" s="1238"/>
      <c r="AN22" s="1238"/>
      <c r="AO22" s="1239"/>
      <c r="AP22" s="202"/>
      <c r="AQ22" s="1237" t="s">
        <v>250</v>
      </c>
      <c r="AR22" s="1238"/>
      <c r="AS22" s="1238"/>
      <c r="AT22" s="1238"/>
      <c r="AU22" s="1238"/>
      <c r="AV22" s="1238"/>
      <c r="AW22" s="1238"/>
      <c r="AX22" s="1238"/>
      <c r="AY22" s="1238"/>
      <c r="AZ22" s="1239"/>
      <c r="BA22" s="202"/>
      <c r="BB22" s="202"/>
      <c r="BC22" s="202"/>
      <c r="BD22" s="233"/>
      <c r="BE22" s="304"/>
      <c r="BF22" s="235"/>
      <c r="BG22" s="202"/>
      <c r="BH22" s="202"/>
      <c r="BI22" s="202"/>
      <c r="BJ22" s="202"/>
      <c r="BK22" s="202"/>
      <c r="BL22" s="202"/>
      <c r="BM22" s="233"/>
      <c r="BN22" s="304"/>
      <c r="BO22" s="235"/>
      <c r="BP22" s="235"/>
      <c r="BQ22" s="271"/>
      <c r="BR22" s="259"/>
      <c r="BS22" s="291"/>
      <c r="BT22" s="230">
        <f t="shared" si="26"/>
        <v>0</v>
      </c>
      <c r="BU22" s="305"/>
      <c r="BV22" s="306"/>
      <c r="BW22" s="307"/>
    </row>
    <row r="23" spans="1:75" ht="16.5" hidden="1" customHeight="1">
      <c r="A23" s="317"/>
      <c r="B23" s="318"/>
      <c r="C23" s="319"/>
      <c r="D23" s="320"/>
      <c r="E23" s="321"/>
      <c r="F23" s="322"/>
      <c r="G23" s="320"/>
      <c r="H23" s="323"/>
      <c r="I23" s="324"/>
      <c r="J23" s="323"/>
      <c r="K23" s="320"/>
      <c r="L23" s="320"/>
      <c r="M23" s="325"/>
      <c r="N23" s="320"/>
      <c r="O23" s="320"/>
      <c r="P23" s="320"/>
      <c r="Q23" s="320"/>
      <c r="R23" s="320"/>
      <c r="S23" s="320"/>
      <c r="T23" s="320"/>
      <c r="U23" s="320"/>
      <c r="V23" s="320"/>
      <c r="W23" s="320"/>
      <c r="X23" s="320"/>
      <c r="Y23" s="320"/>
      <c r="Z23" s="320"/>
      <c r="AA23" s="320"/>
      <c r="AB23" s="320"/>
      <c r="AC23" s="320"/>
      <c r="AD23" s="326"/>
      <c r="AF23" s="327">
        <v>1</v>
      </c>
      <c r="AG23" s="304">
        <v>2</v>
      </c>
      <c r="AH23" s="304">
        <v>3</v>
      </c>
      <c r="AI23" s="304">
        <v>4</v>
      </c>
      <c r="AJ23" s="304">
        <v>5</v>
      </c>
      <c r="AK23" s="304">
        <v>6</v>
      </c>
      <c r="AL23" s="304">
        <v>7</v>
      </c>
      <c r="AM23" s="328">
        <v>8</v>
      </c>
      <c r="AN23" s="303" t="s">
        <v>207</v>
      </c>
      <c r="AO23" s="215" t="s">
        <v>208</v>
      </c>
      <c r="AP23" s="202"/>
      <c r="AQ23" s="209">
        <v>1</v>
      </c>
      <c r="AR23" s="210">
        <v>2</v>
      </c>
      <c r="AS23" s="210">
        <v>3</v>
      </c>
      <c r="AT23" s="210">
        <v>4</v>
      </c>
      <c r="AU23" s="210">
        <v>5</v>
      </c>
      <c r="AV23" s="210">
        <v>6</v>
      </c>
      <c r="AW23" s="210">
        <v>7</v>
      </c>
      <c r="AX23" s="211">
        <v>8</v>
      </c>
      <c r="AY23" s="329" t="s">
        <v>207</v>
      </c>
      <c r="AZ23" s="215" t="s">
        <v>208</v>
      </c>
      <c r="BA23" s="202"/>
      <c r="BB23" s="202"/>
      <c r="BC23" s="202"/>
      <c r="BD23" s="233"/>
      <c r="BE23" s="304"/>
      <c r="BF23" s="235"/>
      <c r="BG23" s="202"/>
      <c r="BH23" s="202"/>
      <c r="BI23" s="202"/>
      <c r="BJ23" s="202"/>
      <c r="BK23" s="202"/>
      <c r="BL23" s="202"/>
      <c r="BM23" s="233"/>
      <c r="BN23" s="304"/>
      <c r="BO23" s="235"/>
      <c r="BP23" s="235"/>
      <c r="BQ23" s="271"/>
      <c r="BR23" s="259"/>
      <c r="BS23" s="291"/>
      <c r="BT23" s="230">
        <f t="shared" si="26"/>
        <v>0</v>
      </c>
      <c r="BU23" s="305"/>
      <c r="BV23" s="306"/>
      <c r="BW23" s="307"/>
    </row>
    <row r="24" spans="1:75" ht="17.25" customHeight="1">
      <c r="A24" s="1240" t="s">
        <v>251</v>
      </c>
      <c r="B24" s="330"/>
      <c r="C24" s="331"/>
      <c r="D24" s="332"/>
      <c r="E24" s="1255" t="s">
        <v>137</v>
      </c>
      <c r="F24" s="223"/>
      <c r="G24" s="1287" t="s">
        <v>225</v>
      </c>
      <c r="H24" s="333"/>
      <c r="I24" s="334" t="s">
        <v>252</v>
      </c>
      <c r="J24" s="335" t="s">
        <v>217</v>
      </c>
      <c r="K24" s="335" t="s">
        <v>217</v>
      </c>
      <c r="L24" s="335" t="s">
        <v>217</v>
      </c>
      <c r="M24" s="305" t="s">
        <v>158</v>
      </c>
      <c r="N24" s="202">
        <f>IF(C90&gt;50,1,0)</f>
        <v>0</v>
      </c>
      <c r="O24" s="249">
        <f>IF(C92&lt;50,1,0)</f>
        <v>1</v>
      </c>
      <c r="P24" s="249">
        <f>IF(C94&lt;4,1,0)</f>
        <v>0</v>
      </c>
      <c r="Q24" s="249">
        <f t="shared" ref="Q24:Q37" si="32">IF(T24=2,1,0)</f>
        <v>0</v>
      </c>
      <c r="R24" s="202">
        <f>IF(C94&gt;=4,1,0)</f>
        <v>1</v>
      </c>
      <c r="S24" s="202">
        <f>IF(C94&lt;=7,1,0)</f>
        <v>0</v>
      </c>
      <c r="T24" s="202">
        <f t="shared" ref="T24:T37" si="33">R24+S24</f>
        <v>1</v>
      </c>
      <c r="U24" s="231">
        <f>IF(C91&lt;15,1,0)</f>
        <v>0</v>
      </c>
      <c r="V24" s="202" t="s">
        <v>217</v>
      </c>
      <c r="W24" s="202" t="s">
        <v>217</v>
      </c>
      <c r="X24" s="232" t="s">
        <v>217</v>
      </c>
      <c r="Y24" s="249" t="s">
        <v>217</v>
      </c>
      <c r="Z24" s="231" t="s">
        <v>217</v>
      </c>
      <c r="AA24" s="202" t="s">
        <v>217</v>
      </c>
      <c r="AB24" s="202" t="s">
        <v>217</v>
      </c>
      <c r="AC24" s="249" t="s">
        <v>217</v>
      </c>
      <c r="AD24" s="249" t="s">
        <v>217</v>
      </c>
      <c r="AF24" s="236">
        <f t="shared" ref="AF24:AI55" si="34">N24</f>
        <v>0</v>
      </c>
      <c r="AG24" s="228">
        <f t="shared" si="34"/>
        <v>1</v>
      </c>
      <c r="AH24" s="228">
        <f t="shared" si="34"/>
        <v>0</v>
      </c>
      <c r="AI24" s="228" t="s">
        <v>217</v>
      </c>
      <c r="AJ24" s="228">
        <f t="shared" ref="AJ24:AJ79" si="35">U24</f>
        <v>0</v>
      </c>
      <c r="AK24" s="228" t="str">
        <f t="shared" ref="AK24:AK79" si="36">Y24</f>
        <v>-</v>
      </c>
      <c r="AL24" s="228" t="str">
        <f t="shared" ref="AL24:AM55" si="37">AC24</f>
        <v>-</v>
      </c>
      <c r="AM24" s="237" t="str">
        <f t="shared" si="37"/>
        <v>-</v>
      </c>
      <c r="AN24" s="336">
        <f t="shared" ref="AN24:AN79" si="38">SUM(AF24:AM24)</f>
        <v>1</v>
      </c>
      <c r="AO24" s="337" t="str">
        <f>IF(AN24=4,E24,"")</f>
        <v/>
      </c>
      <c r="AP24" s="235">
        <f t="shared" ref="AP24:AP80" si="39">IF(AO24="",0,1)</f>
        <v>0</v>
      </c>
      <c r="AQ24" s="236">
        <f t="shared" ref="AQ24:AR37" si="40">N24</f>
        <v>0</v>
      </c>
      <c r="AR24" s="228">
        <f t="shared" si="40"/>
        <v>1</v>
      </c>
      <c r="AS24" s="228" t="s">
        <v>217</v>
      </c>
      <c r="AT24" s="228">
        <f t="shared" ref="AT24:AT37" si="41">Q24</f>
        <v>0</v>
      </c>
      <c r="AU24" s="228">
        <f t="shared" ref="AU24:AU37" si="42">U24</f>
        <v>0</v>
      </c>
      <c r="AV24" s="228" t="str">
        <f t="shared" ref="AV24:AV37" si="43">Y24</f>
        <v>-</v>
      </c>
      <c r="AW24" s="228" t="str">
        <f t="shared" ref="AW24:AX37" si="44">AC24</f>
        <v>-</v>
      </c>
      <c r="AX24" s="237" t="str">
        <f t="shared" si="44"/>
        <v>-</v>
      </c>
      <c r="AY24" s="236">
        <f t="shared" ref="AY24:AY37" si="45">SUM(AQ24:AX24)</f>
        <v>1</v>
      </c>
      <c r="AZ24" s="338" t="str">
        <f>IF(AY24=4,E24,"")</f>
        <v/>
      </c>
      <c r="BA24" s="235">
        <f t="shared" ref="BA24:BA37" si="46">IF(AZ24="",0,1)</f>
        <v>0</v>
      </c>
      <c r="BK24" s="304"/>
      <c r="BQ24" s="244">
        <f t="shared" ref="BQ24:BQ37" si="47">AP24+BA24</f>
        <v>0</v>
      </c>
      <c r="BR24" s="259" t="str">
        <f>IF(BQ24=0,"",E24)</f>
        <v/>
      </c>
      <c r="BS24" s="291" t="str">
        <f t="shared" ref="BS24:BS79" si="48">IF(BQ24=0,"",M24)</f>
        <v/>
      </c>
      <c r="BT24" s="230">
        <f t="shared" si="26"/>
        <v>0</v>
      </c>
      <c r="BU24" s="1286">
        <f>SUM(BT21:BT30)</f>
        <v>0</v>
      </c>
      <c r="BV24" s="1281">
        <f>IF(BW24="",0,1)</f>
        <v>0</v>
      </c>
      <c r="BW24" s="1282" t="str">
        <f>IF(BU24=0,"",E24)</f>
        <v/>
      </c>
    </row>
    <row r="25" spans="1:75" ht="16.5" customHeight="1">
      <c r="A25" s="1241"/>
      <c r="B25" s="330"/>
      <c r="C25" s="282"/>
      <c r="D25" s="247"/>
      <c r="E25" s="1294"/>
      <c r="F25" s="223"/>
      <c r="G25" s="1293"/>
      <c r="H25" s="339"/>
      <c r="I25" s="334" t="s">
        <v>253</v>
      </c>
      <c r="J25" s="247" t="s">
        <v>254</v>
      </c>
      <c r="K25" s="247" t="s">
        <v>217</v>
      </c>
      <c r="L25" s="247" t="s">
        <v>217</v>
      </c>
      <c r="M25" s="248" t="s">
        <v>159</v>
      </c>
      <c r="N25" s="202">
        <f>IF(C90&gt;50,1,0)</f>
        <v>0</v>
      </c>
      <c r="O25" s="249">
        <f>IF(C92&lt;50,1,0)</f>
        <v>1</v>
      </c>
      <c r="P25" s="249">
        <f>IF(C94&lt;4,1,0)</f>
        <v>0</v>
      </c>
      <c r="Q25" s="249">
        <f t="shared" si="32"/>
        <v>0</v>
      </c>
      <c r="R25" s="202">
        <f>IF(C94&gt;=4,1,0)</f>
        <v>1</v>
      </c>
      <c r="S25" s="202">
        <f>IF(C94&lt;=7,1,0)</f>
        <v>0</v>
      </c>
      <c r="T25" s="202">
        <f t="shared" si="33"/>
        <v>1</v>
      </c>
      <c r="U25" s="231">
        <f>IF(X25=2,1,0)</f>
        <v>0</v>
      </c>
      <c r="V25" s="202">
        <f>IF(C91&gt;=15,1,0)</f>
        <v>1</v>
      </c>
      <c r="W25" s="202">
        <f>IF(C91&lt;=29,1,0)</f>
        <v>0</v>
      </c>
      <c r="X25" s="232">
        <f>V25+W25</f>
        <v>1</v>
      </c>
      <c r="Y25" s="249">
        <f>IF((C85/C84)&gt;=1,1,0)</f>
        <v>1</v>
      </c>
      <c r="Z25" s="231" t="s">
        <v>217</v>
      </c>
      <c r="AA25" s="202" t="s">
        <v>217</v>
      </c>
      <c r="AB25" s="202" t="s">
        <v>217</v>
      </c>
      <c r="AC25" s="249" t="s">
        <v>217</v>
      </c>
      <c r="AD25" s="249" t="s">
        <v>217</v>
      </c>
      <c r="AF25" s="231">
        <f t="shared" si="34"/>
        <v>0</v>
      </c>
      <c r="AG25" s="202">
        <f t="shared" si="34"/>
        <v>1</v>
      </c>
      <c r="AH25" s="202">
        <f t="shared" si="34"/>
        <v>0</v>
      </c>
      <c r="AI25" s="202" t="s">
        <v>217</v>
      </c>
      <c r="AJ25" s="202">
        <f t="shared" si="35"/>
        <v>0</v>
      </c>
      <c r="AK25" s="202">
        <f t="shared" si="36"/>
        <v>1</v>
      </c>
      <c r="AL25" s="202" t="str">
        <f t="shared" si="37"/>
        <v>-</v>
      </c>
      <c r="AM25" s="232" t="str">
        <f t="shared" si="37"/>
        <v>-</v>
      </c>
      <c r="AN25" s="265">
        <f t="shared" si="38"/>
        <v>2</v>
      </c>
      <c r="AO25" s="340" t="str">
        <f>IF(AN25=5,E24,"")</f>
        <v/>
      </c>
      <c r="AP25" s="235">
        <f t="shared" si="39"/>
        <v>0</v>
      </c>
      <c r="AQ25" s="231">
        <f t="shared" si="40"/>
        <v>0</v>
      </c>
      <c r="AR25" s="202">
        <f t="shared" si="40"/>
        <v>1</v>
      </c>
      <c r="AS25" s="202" t="s">
        <v>217</v>
      </c>
      <c r="AT25" s="202">
        <f t="shared" si="41"/>
        <v>0</v>
      </c>
      <c r="AU25" s="202">
        <f t="shared" si="42"/>
        <v>0</v>
      </c>
      <c r="AV25" s="202">
        <f t="shared" si="43"/>
        <v>1</v>
      </c>
      <c r="AW25" s="202" t="str">
        <f t="shared" si="44"/>
        <v>-</v>
      </c>
      <c r="AX25" s="232" t="str">
        <f t="shared" si="44"/>
        <v>-</v>
      </c>
      <c r="AY25" s="231">
        <f t="shared" si="45"/>
        <v>2</v>
      </c>
      <c r="AZ25" s="341" t="str">
        <f>IF(AY25=5,E24,"")</f>
        <v/>
      </c>
      <c r="BA25" s="235">
        <f t="shared" si="46"/>
        <v>0</v>
      </c>
      <c r="BQ25" s="271">
        <f t="shared" si="47"/>
        <v>0</v>
      </c>
      <c r="BR25" s="259" t="str">
        <f>IF(BQ25=0,"",E24)</f>
        <v/>
      </c>
      <c r="BS25" s="291" t="str">
        <f t="shared" si="48"/>
        <v/>
      </c>
      <c r="BT25" s="230">
        <f t="shared" si="26"/>
        <v>0</v>
      </c>
      <c r="BU25" s="1286"/>
      <c r="BV25" s="1281"/>
      <c r="BW25" s="1282"/>
    </row>
    <row r="26" spans="1:75" ht="16.5" customHeight="1">
      <c r="A26" s="1241"/>
      <c r="B26" s="330"/>
      <c r="C26" s="282"/>
      <c r="D26" s="247"/>
      <c r="E26" s="1294"/>
      <c r="F26" s="1293" t="s">
        <v>255</v>
      </c>
      <c r="G26" s="1293"/>
      <c r="H26" s="284"/>
      <c r="I26" s="342"/>
      <c r="J26" s="247" t="s">
        <v>256</v>
      </c>
      <c r="K26" s="247" t="s">
        <v>217</v>
      </c>
      <c r="L26" s="247" t="s">
        <v>217</v>
      </c>
      <c r="M26" s="248" t="s">
        <v>160</v>
      </c>
      <c r="N26" s="202">
        <f>IF(C90&gt;50,1,0)</f>
        <v>0</v>
      </c>
      <c r="O26" s="249">
        <f>IF(C92&lt;50,1,0)</f>
        <v>1</v>
      </c>
      <c r="P26" s="249">
        <f>IF(C94&lt;4,1,0)</f>
        <v>0</v>
      </c>
      <c r="Q26" s="249">
        <f t="shared" si="32"/>
        <v>0</v>
      </c>
      <c r="R26" s="202">
        <f>IF(C94&gt;=4,1,0)</f>
        <v>1</v>
      </c>
      <c r="S26" s="202">
        <f>IF(C94&lt;=7,1,0)</f>
        <v>0</v>
      </c>
      <c r="T26" s="202">
        <f t="shared" si="33"/>
        <v>1</v>
      </c>
      <c r="U26" s="231" t="s">
        <v>217</v>
      </c>
      <c r="V26" s="202" t="s">
        <v>217</v>
      </c>
      <c r="W26" s="202" t="s">
        <v>217</v>
      </c>
      <c r="X26" s="232" t="s">
        <v>217</v>
      </c>
      <c r="Y26" s="249">
        <f>IF(C85/C84&lt;1,1,0)</f>
        <v>0</v>
      </c>
      <c r="Z26" s="231" t="s">
        <v>217</v>
      </c>
      <c r="AA26" s="202" t="s">
        <v>217</v>
      </c>
      <c r="AB26" s="202" t="s">
        <v>217</v>
      </c>
      <c r="AC26" s="249" t="s">
        <v>217</v>
      </c>
      <c r="AD26" s="249" t="s">
        <v>217</v>
      </c>
      <c r="AF26" s="231">
        <f t="shared" si="34"/>
        <v>0</v>
      </c>
      <c r="AG26" s="202">
        <f t="shared" si="34"/>
        <v>1</v>
      </c>
      <c r="AH26" s="202">
        <f t="shared" si="34"/>
        <v>0</v>
      </c>
      <c r="AI26" s="202" t="s">
        <v>217</v>
      </c>
      <c r="AJ26" s="202" t="str">
        <f t="shared" si="35"/>
        <v>-</v>
      </c>
      <c r="AK26" s="202">
        <f t="shared" si="36"/>
        <v>0</v>
      </c>
      <c r="AL26" s="202" t="str">
        <f t="shared" si="37"/>
        <v>-</v>
      </c>
      <c r="AM26" s="232" t="str">
        <f t="shared" si="37"/>
        <v>-</v>
      </c>
      <c r="AN26" s="265">
        <f t="shared" si="38"/>
        <v>1</v>
      </c>
      <c r="AO26" s="340" t="str">
        <f>IF(AN26=4,E24,"")</f>
        <v/>
      </c>
      <c r="AP26" s="235">
        <f t="shared" si="39"/>
        <v>0</v>
      </c>
      <c r="AQ26" s="231">
        <f t="shared" si="40"/>
        <v>0</v>
      </c>
      <c r="AR26" s="202">
        <f t="shared" si="40"/>
        <v>1</v>
      </c>
      <c r="AS26" s="202" t="s">
        <v>217</v>
      </c>
      <c r="AT26" s="202">
        <f t="shared" si="41"/>
        <v>0</v>
      </c>
      <c r="AU26" s="202" t="str">
        <f t="shared" si="42"/>
        <v>-</v>
      </c>
      <c r="AV26" s="202">
        <f t="shared" si="43"/>
        <v>0</v>
      </c>
      <c r="AW26" s="202" t="str">
        <f t="shared" si="44"/>
        <v>-</v>
      </c>
      <c r="AX26" s="232" t="str">
        <f t="shared" si="44"/>
        <v>-</v>
      </c>
      <c r="AY26" s="231">
        <f t="shared" si="45"/>
        <v>1</v>
      </c>
      <c r="AZ26" s="341" t="str">
        <f>IF(AY26=5,E24,"")</f>
        <v/>
      </c>
      <c r="BA26" s="235">
        <f t="shared" si="46"/>
        <v>0</v>
      </c>
      <c r="BQ26" s="271">
        <f t="shared" si="47"/>
        <v>0</v>
      </c>
      <c r="BR26" s="259" t="str">
        <f>IF(BQ26=0,"",E24)</f>
        <v/>
      </c>
      <c r="BS26" s="291" t="str">
        <f t="shared" si="48"/>
        <v/>
      </c>
      <c r="BT26" s="230">
        <f t="shared" si="26"/>
        <v>0</v>
      </c>
      <c r="BU26" s="1286"/>
      <c r="BV26" s="1281"/>
      <c r="BW26" s="1282"/>
    </row>
    <row r="27" spans="1:75" ht="16.5" customHeight="1">
      <c r="A27" s="1241"/>
      <c r="B27" s="330"/>
      <c r="C27" s="282"/>
      <c r="D27" s="247"/>
      <c r="E27" s="1294"/>
      <c r="F27" s="1293"/>
      <c r="G27" s="1293"/>
      <c r="H27" s="284"/>
      <c r="I27" s="334" t="s">
        <v>257</v>
      </c>
      <c r="J27" s="247" t="s">
        <v>254</v>
      </c>
      <c r="K27" s="247" t="s">
        <v>258</v>
      </c>
      <c r="L27" s="247" t="s">
        <v>217</v>
      </c>
      <c r="M27" s="248" t="s">
        <v>161</v>
      </c>
      <c r="N27" s="202">
        <f>IF(C90&gt;50,1,0)</f>
        <v>0</v>
      </c>
      <c r="O27" s="249">
        <f>IF(C92&lt;50,1,0)</f>
        <v>1</v>
      </c>
      <c r="P27" s="249">
        <f>IF(C94&lt;4,1,0)</f>
        <v>0</v>
      </c>
      <c r="Q27" s="249">
        <f t="shared" si="32"/>
        <v>0</v>
      </c>
      <c r="R27" s="202">
        <f>IF(C94&gt;=4,1,0)</f>
        <v>1</v>
      </c>
      <c r="S27" s="202">
        <f>IF(C94&lt;=7,1,0)</f>
        <v>0</v>
      </c>
      <c r="T27" s="202">
        <f t="shared" si="33"/>
        <v>1</v>
      </c>
      <c r="U27" s="231">
        <f>IF(C91&gt;=30,1,0)</f>
        <v>1</v>
      </c>
      <c r="V27" s="202" t="s">
        <v>217</v>
      </c>
      <c r="W27" s="202" t="s">
        <v>217</v>
      </c>
      <c r="X27" s="232" t="s">
        <v>217</v>
      </c>
      <c r="Y27" s="249">
        <f>IF((C85/C84)&gt;=1,1,0)</f>
        <v>1</v>
      </c>
      <c r="Z27" s="231" t="s">
        <v>217</v>
      </c>
      <c r="AA27" s="202" t="s">
        <v>217</v>
      </c>
      <c r="AB27" s="202" t="s">
        <v>217</v>
      </c>
      <c r="AC27" s="249">
        <f>IF(C84&lt;15,1,0)</f>
        <v>0</v>
      </c>
      <c r="AD27" s="249" t="s">
        <v>217</v>
      </c>
      <c r="AF27" s="231">
        <f t="shared" si="34"/>
        <v>0</v>
      </c>
      <c r="AG27" s="202">
        <f t="shared" si="34"/>
        <v>1</v>
      </c>
      <c r="AH27" s="202">
        <f t="shared" si="34"/>
        <v>0</v>
      </c>
      <c r="AI27" s="202" t="s">
        <v>217</v>
      </c>
      <c r="AJ27" s="202">
        <f t="shared" si="35"/>
        <v>1</v>
      </c>
      <c r="AK27" s="202">
        <f t="shared" si="36"/>
        <v>1</v>
      </c>
      <c r="AL27" s="202">
        <f t="shared" si="37"/>
        <v>0</v>
      </c>
      <c r="AM27" s="232" t="str">
        <f t="shared" si="37"/>
        <v>-</v>
      </c>
      <c r="AN27" s="265">
        <f t="shared" si="38"/>
        <v>3</v>
      </c>
      <c r="AO27" s="340" t="str">
        <f>IF(AN27=6,E24,"")</f>
        <v/>
      </c>
      <c r="AP27" s="235">
        <f t="shared" si="39"/>
        <v>0</v>
      </c>
      <c r="AQ27" s="231">
        <f t="shared" si="40"/>
        <v>0</v>
      </c>
      <c r="AR27" s="202">
        <f t="shared" si="40"/>
        <v>1</v>
      </c>
      <c r="AS27" s="202" t="s">
        <v>217</v>
      </c>
      <c r="AT27" s="202">
        <f t="shared" si="41"/>
        <v>0</v>
      </c>
      <c r="AU27" s="202">
        <f t="shared" si="42"/>
        <v>1</v>
      </c>
      <c r="AV27" s="202">
        <f t="shared" si="43"/>
        <v>1</v>
      </c>
      <c r="AW27" s="202">
        <f t="shared" si="44"/>
        <v>0</v>
      </c>
      <c r="AX27" s="232" t="str">
        <f t="shared" si="44"/>
        <v>-</v>
      </c>
      <c r="AY27" s="231">
        <f t="shared" si="45"/>
        <v>3</v>
      </c>
      <c r="AZ27" s="341" t="str">
        <f>IF(AY27=6,E24,"")</f>
        <v/>
      </c>
      <c r="BA27" s="235">
        <f t="shared" si="46"/>
        <v>0</v>
      </c>
      <c r="BQ27" s="271">
        <f t="shared" si="47"/>
        <v>0</v>
      </c>
      <c r="BR27" s="259" t="str">
        <f>IF(BQ27=0,"",E24)</f>
        <v/>
      </c>
      <c r="BS27" s="291" t="str">
        <f t="shared" si="48"/>
        <v/>
      </c>
      <c r="BT27" s="230">
        <f t="shared" si="26"/>
        <v>0</v>
      </c>
      <c r="BU27" s="1286"/>
      <c r="BV27" s="1281"/>
      <c r="BW27" s="1282"/>
    </row>
    <row r="28" spans="1:75" ht="16.5" customHeight="1">
      <c r="A28" s="1241"/>
      <c r="B28" s="330"/>
      <c r="C28" s="282"/>
      <c r="D28" s="247"/>
      <c r="E28" s="1294"/>
      <c r="F28" s="223" t="s">
        <v>259</v>
      </c>
      <c r="G28" s="1293"/>
      <c r="H28" s="343"/>
      <c r="I28" s="342"/>
      <c r="J28" s="247" t="s">
        <v>254</v>
      </c>
      <c r="K28" s="247" t="s">
        <v>260</v>
      </c>
      <c r="L28" s="247" t="s">
        <v>217</v>
      </c>
      <c r="M28" s="248" t="s">
        <v>162</v>
      </c>
      <c r="N28" s="202">
        <f>IF(C90&gt;50,1,0)</f>
        <v>0</v>
      </c>
      <c r="O28" s="249">
        <f>IF(C92&lt;50,1,0)</f>
        <v>1</v>
      </c>
      <c r="P28" s="249">
        <f>IF(C94&lt;4,1,0)</f>
        <v>0</v>
      </c>
      <c r="Q28" s="249">
        <f t="shared" si="32"/>
        <v>0</v>
      </c>
      <c r="R28" s="202">
        <f>IF(C94&gt;=4,1,0)</f>
        <v>1</v>
      </c>
      <c r="S28" s="202">
        <f>IF(C94&lt;=7,1,0)</f>
        <v>0</v>
      </c>
      <c r="T28" s="202">
        <f t="shared" si="33"/>
        <v>1</v>
      </c>
      <c r="U28" s="231" t="s">
        <v>217</v>
      </c>
      <c r="V28" s="202" t="s">
        <v>217</v>
      </c>
      <c r="W28" s="202" t="s">
        <v>217</v>
      </c>
      <c r="X28" s="232" t="s">
        <v>217</v>
      </c>
      <c r="Y28" s="249">
        <f>IF((C85/C84)&gt;=1,1,0)</f>
        <v>1</v>
      </c>
      <c r="Z28" s="231" t="s">
        <v>217</v>
      </c>
      <c r="AA28" s="202" t="s">
        <v>217</v>
      </c>
      <c r="AB28" s="202" t="s">
        <v>217</v>
      </c>
      <c r="AC28" s="249">
        <f>IF(C84&gt;=15,1,0)</f>
        <v>1</v>
      </c>
      <c r="AD28" s="249" t="s">
        <v>217</v>
      </c>
      <c r="AF28" s="231">
        <f t="shared" si="34"/>
        <v>0</v>
      </c>
      <c r="AG28" s="202">
        <f t="shared" si="34"/>
        <v>1</v>
      </c>
      <c r="AH28" s="202">
        <f t="shared" si="34"/>
        <v>0</v>
      </c>
      <c r="AI28" s="202" t="s">
        <v>217</v>
      </c>
      <c r="AJ28" s="202" t="str">
        <f t="shared" si="35"/>
        <v>-</v>
      </c>
      <c r="AK28" s="202">
        <f t="shared" si="36"/>
        <v>1</v>
      </c>
      <c r="AL28" s="202">
        <f t="shared" si="37"/>
        <v>1</v>
      </c>
      <c r="AM28" s="232" t="str">
        <f t="shared" si="37"/>
        <v>-</v>
      </c>
      <c r="AN28" s="265">
        <f t="shared" si="38"/>
        <v>3</v>
      </c>
      <c r="AO28" s="340" t="str">
        <f>IF(AN28=5,E24,"")</f>
        <v/>
      </c>
      <c r="AP28" s="235">
        <f t="shared" si="39"/>
        <v>0</v>
      </c>
      <c r="AQ28" s="231">
        <f t="shared" si="40"/>
        <v>0</v>
      </c>
      <c r="AR28" s="202">
        <f t="shared" si="40"/>
        <v>1</v>
      </c>
      <c r="AS28" s="202" t="s">
        <v>217</v>
      </c>
      <c r="AT28" s="202">
        <f t="shared" si="41"/>
        <v>0</v>
      </c>
      <c r="AU28" s="202" t="str">
        <f t="shared" si="42"/>
        <v>-</v>
      </c>
      <c r="AV28" s="202">
        <f t="shared" si="43"/>
        <v>1</v>
      </c>
      <c r="AW28" s="202">
        <f t="shared" si="44"/>
        <v>1</v>
      </c>
      <c r="AX28" s="232" t="str">
        <f t="shared" si="44"/>
        <v>-</v>
      </c>
      <c r="AY28" s="231">
        <f t="shared" si="45"/>
        <v>3</v>
      </c>
      <c r="AZ28" s="341" t="str">
        <f>IF(AY28=6,E24,"")</f>
        <v/>
      </c>
      <c r="BA28" s="235">
        <f t="shared" si="46"/>
        <v>0</v>
      </c>
      <c r="BQ28" s="271">
        <f t="shared" si="47"/>
        <v>0</v>
      </c>
      <c r="BR28" s="259" t="str">
        <f>IF(BQ28=0,"",E24)</f>
        <v/>
      </c>
      <c r="BS28" s="291" t="str">
        <f t="shared" si="48"/>
        <v/>
      </c>
      <c r="BT28" s="230">
        <f t="shared" si="26"/>
        <v>0</v>
      </c>
      <c r="BU28" s="1286"/>
      <c r="BV28" s="1281"/>
      <c r="BW28" s="1282"/>
    </row>
    <row r="29" spans="1:75" ht="16.5" customHeight="1">
      <c r="A29" s="1241"/>
      <c r="B29" s="330"/>
      <c r="C29" s="282"/>
      <c r="D29" s="247"/>
      <c r="E29" s="1294"/>
      <c r="F29" s="223"/>
      <c r="G29" s="1293"/>
      <c r="H29" s="344" t="s">
        <v>228</v>
      </c>
      <c r="I29" s="342"/>
      <c r="J29" s="247" t="s">
        <v>256</v>
      </c>
      <c r="K29" s="247" t="s">
        <v>217</v>
      </c>
      <c r="L29" s="247" t="s">
        <v>261</v>
      </c>
      <c r="M29" s="248" t="s">
        <v>262</v>
      </c>
      <c r="N29" s="202">
        <f>IF(C90&gt;50,1,0)</f>
        <v>0</v>
      </c>
      <c r="O29" s="249">
        <f>IF(C92&lt;50,1,0)</f>
        <v>1</v>
      </c>
      <c r="P29" s="249">
        <f>IF(C94&lt;4,1,0)</f>
        <v>0</v>
      </c>
      <c r="Q29" s="249">
        <f t="shared" si="32"/>
        <v>0</v>
      </c>
      <c r="R29" s="202">
        <f>IF(C94&gt;=4,1,0)</f>
        <v>1</v>
      </c>
      <c r="S29" s="202">
        <f>IF(C94&lt;=7,1,0)</f>
        <v>0</v>
      </c>
      <c r="T29" s="202">
        <f t="shared" si="33"/>
        <v>1</v>
      </c>
      <c r="U29" s="231" t="s">
        <v>217</v>
      </c>
      <c r="V29" s="202" t="s">
        <v>217</v>
      </c>
      <c r="W29" s="202" t="s">
        <v>217</v>
      </c>
      <c r="X29" s="232" t="s">
        <v>217</v>
      </c>
      <c r="Y29" s="249">
        <f>IF(C85/C84&lt;1,1,0)</f>
        <v>0</v>
      </c>
      <c r="Z29" s="231" t="s">
        <v>217</v>
      </c>
      <c r="AA29" s="202" t="s">
        <v>217</v>
      </c>
      <c r="AB29" s="202" t="s">
        <v>217</v>
      </c>
      <c r="AC29" s="249" t="s">
        <v>217</v>
      </c>
      <c r="AD29" s="249">
        <f>IF(C85&lt;15,1,0)</f>
        <v>0</v>
      </c>
      <c r="AF29" s="231">
        <f t="shared" si="34"/>
        <v>0</v>
      </c>
      <c r="AG29" s="202">
        <f t="shared" si="34"/>
        <v>1</v>
      </c>
      <c r="AH29" s="202">
        <f t="shared" si="34"/>
        <v>0</v>
      </c>
      <c r="AI29" s="202" t="s">
        <v>217</v>
      </c>
      <c r="AJ29" s="202" t="str">
        <f t="shared" si="35"/>
        <v>-</v>
      </c>
      <c r="AK29" s="202">
        <f t="shared" si="36"/>
        <v>0</v>
      </c>
      <c r="AL29" s="202" t="str">
        <f t="shared" si="37"/>
        <v>-</v>
      </c>
      <c r="AM29" s="232">
        <f t="shared" si="37"/>
        <v>0</v>
      </c>
      <c r="AN29" s="265">
        <f t="shared" si="38"/>
        <v>1</v>
      </c>
      <c r="AO29" s="340" t="str">
        <f>IF(AN29=5,E24,"")</f>
        <v/>
      </c>
      <c r="AP29" s="235">
        <f t="shared" si="39"/>
        <v>0</v>
      </c>
      <c r="AQ29" s="231">
        <f t="shared" si="40"/>
        <v>0</v>
      </c>
      <c r="AR29" s="202">
        <f t="shared" si="40"/>
        <v>1</v>
      </c>
      <c r="AS29" s="202" t="s">
        <v>217</v>
      </c>
      <c r="AT29" s="202">
        <f t="shared" si="41"/>
        <v>0</v>
      </c>
      <c r="AU29" s="202" t="str">
        <f t="shared" si="42"/>
        <v>-</v>
      </c>
      <c r="AV29" s="202">
        <f t="shared" si="43"/>
        <v>0</v>
      </c>
      <c r="AW29" s="202" t="str">
        <f t="shared" si="44"/>
        <v>-</v>
      </c>
      <c r="AX29" s="232">
        <f t="shared" si="44"/>
        <v>0</v>
      </c>
      <c r="AY29" s="231">
        <f t="shared" si="45"/>
        <v>1</v>
      </c>
      <c r="AZ29" s="341" t="str">
        <f>IF(AY29=6,E24,"")</f>
        <v/>
      </c>
      <c r="BA29" s="235">
        <f t="shared" si="46"/>
        <v>0</v>
      </c>
      <c r="BQ29" s="271">
        <f t="shared" si="47"/>
        <v>0</v>
      </c>
      <c r="BR29" s="259" t="str">
        <f>IF(BQ29=0,"",E24)</f>
        <v/>
      </c>
      <c r="BS29" s="291" t="str">
        <f t="shared" si="48"/>
        <v/>
      </c>
      <c r="BT29" s="230">
        <f t="shared" si="26"/>
        <v>0</v>
      </c>
      <c r="BU29" s="1286"/>
      <c r="BV29" s="1281"/>
      <c r="BW29" s="1282"/>
    </row>
    <row r="30" spans="1:75" ht="16.5" customHeight="1">
      <c r="A30" s="1241"/>
      <c r="B30" s="330"/>
      <c r="C30" s="282"/>
      <c r="D30" s="247"/>
      <c r="E30" s="1246"/>
      <c r="F30" s="285"/>
      <c r="G30" s="1288"/>
      <c r="H30" s="345"/>
      <c r="I30" s="342"/>
      <c r="J30" s="286" t="s">
        <v>256</v>
      </c>
      <c r="K30" s="286" t="s">
        <v>217</v>
      </c>
      <c r="L30" s="286" t="s">
        <v>263</v>
      </c>
      <c r="M30" s="248" t="s">
        <v>264</v>
      </c>
      <c r="N30" s="202">
        <f>IF(C90&gt;50,1,0)</f>
        <v>0</v>
      </c>
      <c r="O30" s="249">
        <f>IF(C92&lt;50,1,0)</f>
        <v>1</v>
      </c>
      <c r="P30" s="249">
        <f>IF(C94&lt;4,1,0)</f>
        <v>0</v>
      </c>
      <c r="Q30" s="249">
        <f t="shared" si="32"/>
        <v>0</v>
      </c>
      <c r="R30" s="202">
        <f>IF(C94&gt;=4,1,0)</f>
        <v>1</v>
      </c>
      <c r="S30" s="202">
        <f>IF(C94&lt;=7,1,0)</f>
        <v>0</v>
      </c>
      <c r="T30" s="202">
        <f t="shared" si="33"/>
        <v>1</v>
      </c>
      <c r="U30" s="254" t="s">
        <v>217</v>
      </c>
      <c r="V30" s="250" t="s">
        <v>217</v>
      </c>
      <c r="W30" s="250" t="s">
        <v>217</v>
      </c>
      <c r="X30" s="255" t="s">
        <v>217</v>
      </c>
      <c r="Y30" s="251">
        <f>IF(C85/C84&lt;1,1,0)</f>
        <v>0</v>
      </c>
      <c r="Z30" s="254" t="s">
        <v>217</v>
      </c>
      <c r="AA30" s="250" t="s">
        <v>217</v>
      </c>
      <c r="AB30" s="250" t="s">
        <v>217</v>
      </c>
      <c r="AC30" s="251" t="s">
        <v>217</v>
      </c>
      <c r="AD30" s="251">
        <f>IF(C85&gt;=15,1,0)</f>
        <v>1</v>
      </c>
      <c r="AF30" s="254">
        <f t="shared" si="34"/>
        <v>0</v>
      </c>
      <c r="AG30" s="250">
        <f t="shared" si="34"/>
        <v>1</v>
      </c>
      <c r="AH30" s="250">
        <f t="shared" si="34"/>
        <v>0</v>
      </c>
      <c r="AI30" s="250" t="s">
        <v>217</v>
      </c>
      <c r="AJ30" s="250" t="str">
        <f t="shared" si="35"/>
        <v>-</v>
      </c>
      <c r="AK30" s="250">
        <f t="shared" si="36"/>
        <v>0</v>
      </c>
      <c r="AL30" s="250" t="str">
        <f t="shared" si="37"/>
        <v>-</v>
      </c>
      <c r="AM30" s="255">
        <f t="shared" si="37"/>
        <v>1</v>
      </c>
      <c r="AN30" s="290">
        <f t="shared" si="38"/>
        <v>2</v>
      </c>
      <c r="AO30" s="346" t="str">
        <f>IF(AN30=5,E24,"")</f>
        <v/>
      </c>
      <c r="AP30" s="235">
        <f t="shared" si="39"/>
        <v>0</v>
      </c>
      <c r="AQ30" s="254">
        <f t="shared" si="40"/>
        <v>0</v>
      </c>
      <c r="AR30" s="250">
        <f t="shared" si="40"/>
        <v>1</v>
      </c>
      <c r="AS30" s="250" t="s">
        <v>217</v>
      </c>
      <c r="AT30" s="250">
        <f t="shared" si="41"/>
        <v>0</v>
      </c>
      <c r="AU30" s="250" t="str">
        <f t="shared" si="42"/>
        <v>-</v>
      </c>
      <c r="AV30" s="250">
        <f t="shared" si="43"/>
        <v>0</v>
      </c>
      <c r="AW30" s="250" t="str">
        <f t="shared" si="44"/>
        <v>-</v>
      </c>
      <c r="AX30" s="255">
        <f t="shared" si="44"/>
        <v>1</v>
      </c>
      <c r="AY30" s="231">
        <f t="shared" si="45"/>
        <v>2</v>
      </c>
      <c r="AZ30" s="341" t="str">
        <f>IF(AY30=6,E24,"")</f>
        <v/>
      </c>
      <c r="BA30" s="235">
        <f t="shared" si="46"/>
        <v>0</v>
      </c>
      <c r="BQ30" s="258">
        <f t="shared" si="47"/>
        <v>0</v>
      </c>
      <c r="BR30" s="259" t="str">
        <f>IF(BQ30=0,"",E24)</f>
        <v/>
      </c>
      <c r="BS30" s="291" t="str">
        <f t="shared" si="48"/>
        <v/>
      </c>
      <c r="BT30" s="230">
        <f t="shared" si="26"/>
        <v>0</v>
      </c>
      <c r="BU30" s="1286"/>
      <c r="BV30" s="1281"/>
      <c r="BW30" s="1282"/>
    </row>
    <row r="31" spans="1:75" ht="17.25" customHeight="1">
      <c r="A31" s="1241"/>
      <c r="B31" s="330"/>
      <c r="C31" s="282"/>
      <c r="D31" s="247"/>
      <c r="E31" s="1255" t="s">
        <v>136</v>
      </c>
      <c r="F31" s="283"/>
      <c r="G31" s="1287" t="s">
        <v>231</v>
      </c>
      <c r="H31" s="347"/>
      <c r="I31" s="348" t="s">
        <v>252</v>
      </c>
      <c r="J31" s="335" t="s">
        <v>217</v>
      </c>
      <c r="K31" s="226" t="s">
        <v>217</v>
      </c>
      <c r="L31" s="335" t="s">
        <v>217</v>
      </c>
      <c r="M31" s="248" t="s">
        <v>265</v>
      </c>
      <c r="N31" s="202">
        <f>IF(C90&gt;50,1,0)</f>
        <v>0</v>
      </c>
      <c r="O31" s="249">
        <f>IF(C92&lt;50,1,0)</f>
        <v>1</v>
      </c>
      <c r="P31" s="229">
        <f>IF(C94&gt;7,1,0)</f>
        <v>1</v>
      </c>
      <c r="Q31" s="249">
        <f t="shared" si="32"/>
        <v>0</v>
      </c>
      <c r="R31" s="202">
        <f>IF(C94&gt;=4,1,0)</f>
        <v>1</v>
      </c>
      <c r="S31" s="202">
        <f>IF(C94&lt;=7,1,0)</f>
        <v>0</v>
      </c>
      <c r="T31" s="202">
        <f t="shared" si="33"/>
        <v>1</v>
      </c>
      <c r="U31" s="236">
        <f>IF(C91&lt;15,1,0)</f>
        <v>0</v>
      </c>
      <c r="V31" s="228" t="s">
        <v>217</v>
      </c>
      <c r="W31" s="228" t="s">
        <v>217</v>
      </c>
      <c r="X31" s="237" t="s">
        <v>217</v>
      </c>
      <c r="Y31" s="229" t="s">
        <v>217</v>
      </c>
      <c r="Z31" s="236" t="s">
        <v>217</v>
      </c>
      <c r="AA31" s="228" t="s">
        <v>217</v>
      </c>
      <c r="AB31" s="228" t="s">
        <v>217</v>
      </c>
      <c r="AC31" s="229" t="s">
        <v>217</v>
      </c>
      <c r="AD31" s="229" t="s">
        <v>217</v>
      </c>
      <c r="AF31" s="231">
        <f t="shared" si="34"/>
        <v>0</v>
      </c>
      <c r="AG31" s="202">
        <f t="shared" si="34"/>
        <v>1</v>
      </c>
      <c r="AH31" s="202">
        <f t="shared" si="34"/>
        <v>1</v>
      </c>
      <c r="AI31" s="202" t="s">
        <v>217</v>
      </c>
      <c r="AJ31" s="202">
        <f t="shared" si="35"/>
        <v>0</v>
      </c>
      <c r="AK31" s="202" t="str">
        <f t="shared" si="36"/>
        <v>-</v>
      </c>
      <c r="AL31" s="202" t="str">
        <f t="shared" si="37"/>
        <v>-</v>
      </c>
      <c r="AM31" s="232" t="str">
        <f t="shared" si="37"/>
        <v>-</v>
      </c>
      <c r="AN31" s="336">
        <f t="shared" si="38"/>
        <v>2</v>
      </c>
      <c r="AO31" s="337" t="str">
        <f>IF(AN31=4,E31,"")</f>
        <v/>
      </c>
      <c r="AP31" s="235">
        <f t="shared" si="39"/>
        <v>0</v>
      </c>
      <c r="AQ31" s="236">
        <f t="shared" si="40"/>
        <v>0</v>
      </c>
      <c r="AR31" s="228">
        <f t="shared" si="40"/>
        <v>1</v>
      </c>
      <c r="AS31" s="228" t="s">
        <v>217</v>
      </c>
      <c r="AT31" s="228">
        <f t="shared" si="41"/>
        <v>0</v>
      </c>
      <c r="AU31" s="228">
        <f t="shared" si="42"/>
        <v>0</v>
      </c>
      <c r="AV31" s="228" t="str">
        <f t="shared" si="43"/>
        <v>-</v>
      </c>
      <c r="AW31" s="228" t="str">
        <f t="shared" si="44"/>
        <v>-</v>
      </c>
      <c r="AX31" s="228" t="str">
        <f t="shared" si="44"/>
        <v>-</v>
      </c>
      <c r="AY31" s="236">
        <f t="shared" si="45"/>
        <v>1</v>
      </c>
      <c r="AZ31" s="338" t="str">
        <f>IF(AY31=4,E31,"")</f>
        <v/>
      </c>
      <c r="BA31" s="235">
        <f t="shared" si="46"/>
        <v>0</v>
      </c>
      <c r="BQ31" s="244">
        <f t="shared" si="47"/>
        <v>0</v>
      </c>
      <c r="BR31" s="259" t="str">
        <f>IF(BQ31=0,"",E31)</f>
        <v/>
      </c>
      <c r="BS31" s="291" t="str">
        <f t="shared" si="48"/>
        <v/>
      </c>
      <c r="BT31" s="230">
        <f t="shared" si="26"/>
        <v>0</v>
      </c>
      <c r="BU31" s="1286">
        <f>SUM(BT31:BT37)</f>
        <v>0</v>
      </c>
      <c r="BV31" s="1281">
        <f>IF(BW31="",0,1)</f>
        <v>0</v>
      </c>
      <c r="BW31" s="1282" t="str">
        <f>IF(BU31=0,"",E31)</f>
        <v/>
      </c>
    </row>
    <row r="32" spans="1:75" ht="17.25" customHeight="1">
      <c r="A32" s="1241"/>
      <c r="B32" s="330"/>
      <c r="C32" s="282"/>
      <c r="D32" s="247"/>
      <c r="E32" s="1294"/>
      <c r="F32" s="223"/>
      <c r="G32" s="1293"/>
      <c r="H32" s="345" t="s">
        <v>232</v>
      </c>
      <c r="I32" s="349" t="s">
        <v>253</v>
      </c>
      <c r="J32" s="247" t="s">
        <v>254</v>
      </c>
      <c r="K32" s="226" t="s">
        <v>217</v>
      </c>
      <c r="L32" s="247" t="s">
        <v>217</v>
      </c>
      <c r="M32" s="248" t="s">
        <v>266</v>
      </c>
      <c r="N32" s="202">
        <f>IF(C90&gt;50,1,0)</f>
        <v>0</v>
      </c>
      <c r="O32" s="249">
        <f>IF(C92&lt;50,1,0)</f>
        <v>1</v>
      </c>
      <c r="P32" s="249">
        <f>IF(C94&gt;7,1,0)</f>
        <v>1</v>
      </c>
      <c r="Q32" s="249">
        <f t="shared" si="32"/>
        <v>0</v>
      </c>
      <c r="R32" s="202">
        <f>IF(C94&gt;=4,1,0)</f>
        <v>1</v>
      </c>
      <c r="S32" s="202">
        <f>IF(C94&lt;=7,1,0)</f>
        <v>0</v>
      </c>
      <c r="T32" s="202">
        <f t="shared" si="33"/>
        <v>1</v>
      </c>
      <c r="U32" s="231">
        <f>IF(X32=2,1,0)</f>
        <v>0</v>
      </c>
      <c r="V32" s="202">
        <f>IF(C91&gt;=15,1,0)</f>
        <v>1</v>
      </c>
      <c r="W32" s="202">
        <f>IF(C91&lt;=29,1,0)</f>
        <v>0</v>
      </c>
      <c r="X32" s="232">
        <f>V32+W32</f>
        <v>1</v>
      </c>
      <c r="Y32" s="249">
        <f>IF((C85/C84)&gt;=1,1,0)</f>
        <v>1</v>
      </c>
      <c r="Z32" s="231" t="s">
        <v>217</v>
      </c>
      <c r="AA32" s="202" t="s">
        <v>217</v>
      </c>
      <c r="AB32" s="202" t="s">
        <v>217</v>
      </c>
      <c r="AC32" s="249" t="s">
        <v>217</v>
      </c>
      <c r="AD32" s="249" t="s">
        <v>217</v>
      </c>
      <c r="AF32" s="231">
        <f t="shared" si="34"/>
        <v>0</v>
      </c>
      <c r="AG32" s="202">
        <f t="shared" si="34"/>
        <v>1</v>
      </c>
      <c r="AH32" s="202">
        <f t="shared" si="34"/>
        <v>1</v>
      </c>
      <c r="AI32" s="202" t="s">
        <v>217</v>
      </c>
      <c r="AJ32" s="202">
        <f t="shared" si="35"/>
        <v>0</v>
      </c>
      <c r="AK32" s="202">
        <f t="shared" si="36"/>
        <v>1</v>
      </c>
      <c r="AL32" s="202" t="str">
        <f t="shared" si="37"/>
        <v>-</v>
      </c>
      <c r="AM32" s="232" t="str">
        <f t="shared" si="37"/>
        <v>-</v>
      </c>
      <c r="AN32" s="265">
        <f t="shared" si="38"/>
        <v>3</v>
      </c>
      <c r="AO32" s="340" t="str">
        <f>IF(AN32=5,E31,"")</f>
        <v/>
      </c>
      <c r="AP32" s="235">
        <f t="shared" si="39"/>
        <v>0</v>
      </c>
      <c r="AQ32" s="231">
        <f t="shared" si="40"/>
        <v>0</v>
      </c>
      <c r="AR32" s="202">
        <f t="shared" si="40"/>
        <v>1</v>
      </c>
      <c r="AS32" s="202" t="s">
        <v>217</v>
      </c>
      <c r="AT32" s="202">
        <f t="shared" si="41"/>
        <v>0</v>
      </c>
      <c r="AU32" s="202">
        <f t="shared" si="42"/>
        <v>0</v>
      </c>
      <c r="AV32" s="202">
        <f t="shared" si="43"/>
        <v>1</v>
      </c>
      <c r="AW32" s="202" t="str">
        <f t="shared" si="44"/>
        <v>-</v>
      </c>
      <c r="AX32" s="202" t="str">
        <f t="shared" si="44"/>
        <v>-</v>
      </c>
      <c r="AY32" s="231">
        <f t="shared" si="45"/>
        <v>2</v>
      </c>
      <c r="AZ32" s="341" t="str">
        <f>IF(AY32=5,E31,"")</f>
        <v/>
      </c>
      <c r="BA32" s="235">
        <f t="shared" si="46"/>
        <v>0</v>
      </c>
      <c r="BQ32" s="271">
        <f t="shared" si="47"/>
        <v>0</v>
      </c>
      <c r="BR32" s="259" t="str">
        <f>IF(BQ32=0,"",E31)</f>
        <v/>
      </c>
      <c r="BS32" s="291" t="str">
        <f t="shared" si="48"/>
        <v/>
      </c>
      <c r="BT32" s="230">
        <f t="shared" si="26"/>
        <v>0</v>
      </c>
      <c r="BU32" s="1286"/>
      <c r="BV32" s="1281"/>
      <c r="BW32" s="1282"/>
    </row>
    <row r="33" spans="1:75" ht="17.25" customHeight="1">
      <c r="A33" s="1241"/>
      <c r="B33" s="330"/>
      <c r="C33" s="282"/>
      <c r="D33" s="247"/>
      <c r="E33" s="1294"/>
      <c r="F33" s="1293" t="s">
        <v>267</v>
      </c>
      <c r="G33" s="1293"/>
      <c r="H33" s="350"/>
      <c r="I33" s="351"/>
      <c r="J33" s="247" t="s">
        <v>256</v>
      </c>
      <c r="K33" s="226" t="s">
        <v>217</v>
      </c>
      <c r="L33" s="247" t="s">
        <v>217</v>
      </c>
      <c r="M33" s="248" t="s">
        <v>268</v>
      </c>
      <c r="N33" s="202">
        <f>IF(C90&gt;50,1,0)</f>
        <v>0</v>
      </c>
      <c r="O33" s="249">
        <f>IF(C92&lt;50,1,0)</f>
        <v>1</v>
      </c>
      <c r="P33" s="249">
        <f>IF(C94&gt;7,1,0)</f>
        <v>1</v>
      </c>
      <c r="Q33" s="249">
        <f t="shared" si="32"/>
        <v>0</v>
      </c>
      <c r="R33" s="202">
        <f>IF(C94&gt;=4,1,0)</f>
        <v>1</v>
      </c>
      <c r="S33" s="202">
        <f>IF(C94&lt;=7,1,0)</f>
        <v>0</v>
      </c>
      <c r="T33" s="202">
        <f t="shared" si="33"/>
        <v>1</v>
      </c>
      <c r="U33" s="231" t="s">
        <v>217</v>
      </c>
      <c r="V33" s="202" t="s">
        <v>217</v>
      </c>
      <c r="W33" s="202" t="s">
        <v>217</v>
      </c>
      <c r="X33" s="232" t="s">
        <v>217</v>
      </c>
      <c r="Y33" s="249">
        <f>IF(C85/C84&lt;1,1,0)</f>
        <v>0</v>
      </c>
      <c r="Z33" s="231" t="s">
        <v>217</v>
      </c>
      <c r="AA33" s="202" t="s">
        <v>217</v>
      </c>
      <c r="AB33" s="202" t="s">
        <v>217</v>
      </c>
      <c r="AC33" s="249" t="s">
        <v>217</v>
      </c>
      <c r="AD33" s="249" t="s">
        <v>217</v>
      </c>
      <c r="AF33" s="231">
        <f t="shared" si="34"/>
        <v>0</v>
      </c>
      <c r="AG33" s="202">
        <f t="shared" si="34"/>
        <v>1</v>
      </c>
      <c r="AH33" s="202">
        <f t="shared" si="34"/>
        <v>1</v>
      </c>
      <c r="AI33" s="202" t="s">
        <v>217</v>
      </c>
      <c r="AJ33" s="202" t="str">
        <f t="shared" si="35"/>
        <v>-</v>
      </c>
      <c r="AK33" s="202">
        <f t="shared" si="36"/>
        <v>0</v>
      </c>
      <c r="AL33" s="202" t="str">
        <f t="shared" si="37"/>
        <v>-</v>
      </c>
      <c r="AM33" s="232" t="str">
        <f t="shared" si="37"/>
        <v>-</v>
      </c>
      <c r="AN33" s="265">
        <f t="shared" si="38"/>
        <v>2</v>
      </c>
      <c r="AO33" s="340" t="str">
        <f>IF(AN33=4,E31,"")</f>
        <v/>
      </c>
      <c r="AP33" s="235">
        <f t="shared" si="39"/>
        <v>0</v>
      </c>
      <c r="AQ33" s="231">
        <f t="shared" si="40"/>
        <v>0</v>
      </c>
      <c r="AR33" s="202">
        <f t="shared" si="40"/>
        <v>1</v>
      </c>
      <c r="AS33" s="202" t="s">
        <v>217</v>
      </c>
      <c r="AT33" s="202">
        <f t="shared" si="41"/>
        <v>0</v>
      </c>
      <c r="AU33" s="202" t="str">
        <f t="shared" si="42"/>
        <v>-</v>
      </c>
      <c r="AV33" s="202">
        <f t="shared" si="43"/>
        <v>0</v>
      </c>
      <c r="AW33" s="202" t="str">
        <f t="shared" si="44"/>
        <v>-</v>
      </c>
      <c r="AX33" s="202" t="str">
        <f t="shared" si="44"/>
        <v>-</v>
      </c>
      <c r="AY33" s="231">
        <f t="shared" si="45"/>
        <v>1</v>
      </c>
      <c r="AZ33" s="341" t="str">
        <f>IF(AY33=5,E31,"")</f>
        <v/>
      </c>
      <c r="BA33" s="235">
        <f t="shared" si="46"/>
        <v>0</v>
      </c>
      <c r="BQ33" s="271">
        <f t="shared" si="47"/>
        <v>0</v>
      </c>
      <c r="BR33" s="259" t="str">
        <f>IF(BQ33=0,"",E31)</f>
        <v/>
      </c>
      <c r="BS33" s="291" t="str">
        <f t="shared" si="48"/>
        <v/>
      </c>
      <c r="BT33" s="230">
        <f t="shared" si="26"/>
        <v>0</v>
      </c>
      <c r="BU33" s="1286"/>
      <c r="BV33" s="1281"/>
      <c r="BW33" s="1282"/>
    </row>
    <row r="34" spans="1:75" ht="17.25" customHeight="1">
      <c r="A34" s="1241"/>
      <c r="B34" s="330"/>
      <c r="C34" s="282"/>
      <c r="D34" s="247"/>
      <c r="E34" s="1294"/>
      <c r="F34" s="1293"/>
      <c r="G34" s="1293"/>
      <c r="H34" s="333"/>
      <c r="I34" s="334" t="s">
        <v>257</v>
      </c>
      <c r="J34" s="247" t="s">
        <v>254</v>
      </c>
      <c r="K34" s="226" t="s">
        <v>258</v>
      </c>
      <c r="L34" s="247" t="s">
        <v>217</v>
      </c>
      <c r="M34" s="248" t="s">
        <v>269</v>
      </c>
      <c r="N34" s="202">
        <f>IF(C90&gt;50,1,0)</f>
        <v>0</v>
      </c>
      <c r="O34" s="249">
        <f>IF(C92&lt;50,1,0)</f>
        <v>1</v>
      </c>
      <c r="P34" s="249">
        <f>IF(C94&gt;7,1,0)</f>
        <v>1</v>
      </c>
      <c r="Q34" s="249">
        <f t="shared" si="32"/>
        <v>0</v>
      </c>
      <c r="R34" s="202">
        <f>IF(C94&gt;=4,1,0)</f>
        <v>1</v>
      </c>
      <c r="S34" s="202">
        <f>IF(C94&lt;=7,1,0)</f>
        <v>0</v>
      </c>
      <c r="T34" s="202">
        <f t="shared" si="33"/>
        <v>1</v>
      </c>
      <c r="U34" s="231">
        <f>IF(C91&gt;=30,1,0)</f>
        <v>1</v>
      </c>
      <c r="V34" s="202" t="s">
        <v>217</v>
      </c>
      <c r="W34" s="202" t="s">
        <v>217</v>
      </c>
      <c r="X34" s="232" t="s">
        <v>217</v>
      </c>
      <c r="Y34" s="249">
        <f>IF((C85/C84)&gt;=1,1,0)</f>
        <v>1</v>
      </c>
      <c r="Z34" s="231" t="s">
        <v>217</v>
      </c>
      <c r="AA34" s="202" t="s">
        <v>217</v>
      </c>
      <c r="AB34" s="202" t="s">
        <v>217</v>
      </c>
      <c r="AC34" s="249">
        <f>IF(C84&lt;15,1,0)</f>
        <v>0</v>
      </c>
      <c r="AD34" s="249" t="s">
        <v>217</v>
      </c>
      <c r="AF34" s="231">
        <f t="shared" si="34"/>
        <v>0</v>
      </c>
      <c r="AG34" s="202">
        <f t="shared" si="34"/>
        <v>1</v>
      </c>
      <c r="AH34" s="202">
        <f t="shared" si="34"/>
        <v>1</v>
      </c>
      <c r="AI34" s="202" t="s">
        <v>217</v>
      </c>
      <c r="AJ34" s="202">
        <f t="shared" si="35"/>
        <v>1</v>
      </c>
      <c r="AK34" s="202">
        <f t="shared" si="36"/>
        <v>1</v>
      </c>
      <c r="AL34" s="202">
        <f t="shared" si="37"/>
        <v>0</v>
      </c>
      <c r="AM34" s="232" t="str">
        <f t="shared" si="37"/>
        <v>-</v>
      </c>
      <c r="AN34" s="265">
        <f t="shared" si="38"/>
        <v>4</v>
      </c>
      <c r="AO34" s="340" t="str">
        <f>IF(AN34=6,E31,"")</f>
        <v/>
      </c>
      <c r="AP34" s="235">
        <f t="shared" si="39"/>
        <v>0</v>
      </c>
      <c r="AQ34" s="231">
        <f t="shared" si="40"/>
        <v>0</v>
      </c>
      <c r="AR34" s="202">
        <f t="shared" si="40"/>
        <v>1</v>
      </c>
      <c r="AS34" s="202" t="s">
        <v>217</v>
      </c>
      <c r="AT34" s="202">
        <f t="shared" si="41"/>
        <v>0</v>
      </c>
      <c r="AU34" s="202">
        <f t="shared" si="42"/>
        <v>1</v>
      </c>
      <c r="AV34" s="202">
        <f t="shared" si="43"/>
        <v>1</v>
      </c>
      <c r="AW34" s="202">
        <f t="shared" si="44"/>
        <v>0</v>
      </c>
      <c r="AX34" s="202" t="str">
        <f t="shared" si="44"/>
        <v>-</v>
      </c>
      <c r="AY34" s="231">
        <f t="shared" si="45"/>
        <v>3</v>
      </c>
      <c r="AZ34" s="341" t="str">
        <f>IF(AY34=6,E31,"")</f>
        <v/>
      </c>
      <c r="BA34" s="235">
        <f t="shared" si="46"/>
        <v>0</v>
      </c>
      <c r="BQ34" s="271">
        <f t="shared" si="47"/>
        <v>0</v>
      </c>
      <c r="BR34" s="259" t="str">
        <f>IF(BQ34=0,"",E31)</f>
        <v/>
      </c>
      <c r="BS34" s="291" t="str">
        <f t="shared" si="48"/>
        <v/>
      </c>
      <c r="BT34" s="230">
        <f t="shared" si="26"/>
        <v>0</v>
      </c>
      <c r="BU34" s="1286"/>
      <c r="BV34" s="1281"/>
      <c r="BW34" s="1282"/>
    </row>
    <row r="35" spans="1:75" ht="17.25" customHeight="1">
      <c r="A35" s="1241"/>
      <c r="B35" s="330"/>
      <c r="C35" s="282"/>
      <c r="D35" s="247"/>
      <c r="E35" s="1294"/>
      <c r="F35" s="223" t="s">
        <v>270</v>
      </c>
      <c r="G35" s="1293"/>
      <c r="H35" s="333"/>
      <c r="I35" s="342"/>
      <c r="J35" s="247" t="s">
        <v>254</v>
      </c>
      <c r="K35" s="226" t="s">
        <v>260</v>
      </c>
      <c r="L35" s="247" t="s">
        <v>217</v>
      </c>
      <c r="M35" s="248" t="s">
        <v>271</v>
      </c>
      <c r="N35" s="202">
        <f>IF(C90&gt;50,1,0)</f>
        <v>0</v>
      </c>
      <c r="O35" s="249">
        <f>IF(C92&lt;50,1,0)</f>
        <v>1</v>
      </c>
      <c r="P35" s="249">
        <f>IF(C94&gt;7,1,0)</f>
        <v>1</v>
      </c>
      <c r="Q35" s="249">
        <f t="shared" si="32"/>
        <v>0</v>
      </c>
      <c r="R35" s="202">
        <f>IF($C$94&gt;=4,1,0)</f>
        <v>1</v>
      </c>
      <c r="S35" s="202">
        <f>IF(C94&lt;=7,1,0)</f>
        <v>0</v>
      </c>
      <c r="T35" s="202">
        <f t="shared" si="33"/>
        <v>1</v>
      </c>
      <c r="U35" s="231" t="s">
        <v>217</v>
      </c>
      <c r="V35" s="202" t="s">
        <v>217</v>
      </c>
      <c r="W35" s="202" t="s">
        <v>217</v>
      </c>
      <c r="X35" s="232" t="s">
        <v>217</v>
      </c>
      <c r="Y35" s="249">
        <f>IF((C85/C84)&gt;=1,1,0)</f>
        <v>1</v>
      </c>
      <c r="Z35" s="231" t="s">
        <v>217</v>
      </c>
      <c r="AA35" s="202" t="s">
        <v>217</v>
      </c>
      <c r="AB35" s="202" t="s">
        <v>217</v>
      </c>
      <c r="AC35" s="249">
        <f>IF(C84&gt;=15,1,0)</f>
        <v>1</v>
      </c>
      <c r="AD35" s="249" t="s">
        <v>217</v>
      </c>
      <c r="AF35" s="231">
        <f t="shared" si="34"/>
        <v>0</v>
      </c>
      <c r="AG35" s="202">
        <f t="shared" si="34"/>
        <v>1</v>
      </c>
      <c r="AH35" s="202">
        <f t="shared" si="34"/>
        <v>1</v>
      </c>
      <c r="AI35" s="202" t="s">
        <v>217</v>
      </c>
      <c r="AJ35" s="202" t="str">
        <f t="shared" si="35"/>
        <v>-</v>
      </c>
      <c r="AK35" s="202">
        <f t="shared" si="36"/>
        <v>1</v>
      </c>
      <c r="AL35" s="202">
        <f t="shared" si="37"/>
        <v>1</v>
      </c>
      <c r="AM35" s="232" t="str">
        <f t="shared" si="37"/>
        <v>-</v>
      </c>
      <c r="AN35" s="265">
        <f t="shared" si="38"/>
        <v>4</v>
      </c>
      <c r="AO35" s="340" t="str">
        <f>IF(AN35=5,E31,"")</f>
        <v/>
      </c>
      <c r="AP35" s="235">
        <f t="shared" si="39"/>
        <v>0</v>
      </c>
      <c r="AQ35" s="231">
        <f t="shared" si="40"/>
        <v>0</v>
      </c>
      <c r="AR35" s="202">
        <f t="shared" si="40"/>
        <v>1</v>
      </c>
      <c r="AS35" s="202" t="s">
        <v>217</v>
      </c>
      <c r="AT35" s="202">
        <f t="shared" si="41"/>
        <v>0</v>
      </c>
      <c r="AU35" s="202" t="str">
        <f t="shared" si="42"/>
        <v>-</v>
      </c>
      <c r="AV35" s="202">
        <f t="shared" si="43"/>
        <v>1</v>
      </c>
      <c r="AW35" s="202">
        <f t="shared" si="44"/>
        <v>1</v>
      </c>
      <c r="AX35" s="202" t="str">
        <f t="shared" si="44"/>
        <v>-</v>
      </c>
      <c r="AY35" s="231">
        <f t="shared" si="45"/>
        <v>3</v>
      </c>
      <c r="AZ35" s="341" t="str">
        <f>IF(AY35=6,E31,"")</f>
        <v/>
      </c>
      <c r="BA35" s="235">
        <f t="shared" si="46"/>
        <v>0</v>
      </c>
      <c r="BQ35" s="271">
        <f t="shared" si="47"/>
        <v>0</v>
      </c>
      <c r="BR35" s="259" t="str">
        <f>IF(BQ35=0,"",E31)</f>
        <v/>
      </c>
      <c r="BS35" s="291" t="str">
        <f t="shared" si="48"/>
        <v/>
      </c>
      <c r="BT35" s="230">
        <f t="shared" si="26"/>
        <v>0</v>
      </c>
      <c r="BU35" s="1286"/>
      <c r="BV35" s="1281"/>
      <c r="BW35" s="1282"/>
    </row>
    <row r="36" spans="1:75" ht="17.25" customHeight="1">
      <c r="A36" s="1241"/>
      <c r="B36" s="330"/>
      <c r="C36" s="282"/>
      <c r="D36" s="262"/>
      <c r="E36" s="1294"/>
      <c r="F36" s="223"/>
      <c r="G36" s="1293"/>
      <c r="H36" s="333"/>
      <c r="I36" s="342"/>
      <c r="J36" s="247" t="s">
        <v>256</v>
      </c>
      <c r="K36" s="226" t="s">
        <v>217</v>
      </c>
      <c r="L36" s="247" t="s">
        <v>261</v>
      </c>
      <c r="M36" s="248" t="s">
        <v>272</v>
      </c>
      <c r="N36" s="202">
        <f>IF(C90&gt;50,1,0)</f>
        <v>0</v>
      </c>
      <c r="O36" s="249">
        <f>IF(C92&lt;50,1,0)</f>
        <v>1</v>
      </c>
      <c r="P36" s="249">
        <f>IF(C94&gt;7,1,0)</f>
        <v>1</v>
      </c>
      <c r="Q36" s="249">
        <f t="shared" si="32"/>
        <v>0</v>
      </c>
      <c r="R36" s="202">
        <f>IF(C94&gt;=4,1,0)</f>
        <v>1</v>
      </c>
      <c r="S36" s="202">
        <f>IF(C94&lt;=7,1,0)</f>
        <v>0</v>
      </c>
      <c r="T36" s="202">
        <f t="shared" si="33"/>
        <v>1</v>
      </c>
      <c r="U36" s="231" t="s">
        <v>217</v>
      </c>
      <c r="V36" s="202" t="s">
        <v>217</v>
      </c>
      <c r="W36" s="202" t="s">
        <v>217</v>
      </c>
      <c r="X36" s="232" t="s">
        <v>217</v>
      </c>
      <c r="Y36" s="249">
        <f>IF(C85/C84&lt;1,1,0)</f>
        <v>0</v>
      </c>
      <c r="Z36" s="231" t="s">
        <v>217</v>
      </c>
      <c r="AA36" s="202" t="s">
        <v>217</v>
      </c>
      <c r="AB36" s="202" t="s">
        <v>217</v>
      </c>
      <c r="AC36" s="249" t="s">
        <v>217</v>
      </c>
      <c r="AD36" s="249">
        <f>IF(C85&lt;15,1,0)</f>
        <v>0</v>
      </c>
      <c r="AF36" s="231">
        <f t="shared" si="34"/>
        <v>0</v>
      </c>
      <c r="AG36" s="202">
        <f t="shared" si="34"/>
        <v>1</v>
      </c>
      <c r="AH36" s="202">
        <f t="shared" si="34"/>
        <v>1</v>
      </c>
      <c r="AI36" s="202" t="s">
        <v>217</v>
      </c>
      <c r="AJ36" s="202" t="str">
        <f t="shared" si="35"/>
        <v>-</v>
      </c>
      <c r="AK36" s="202">
        <f t="shared" si="36"/>
        <v>0</v>
      </c>
      <c r="AL36" s="202" t="str">
        <f t="shared" si="37"/>
        <v>-</v>
      </c>
      <c r="AM36" s="232">
        <f t="shared" si="37"/>
        <v>0</v>
      </c>
      <c r="AN36" s="265">
        <f t="shared" si="38"/>
        <v>2</v>
      </c>
      <c r="AO36" s="340" t="str">
        <f>IF(AN36=5,E31,"")</f>
        <v/>
      </c>
      <c r="AP36" s="235">
        <f t="shared" si="39"/>
        <v>0</v>
      </c>
      <c r="AQ36" s="231">
        <f t="shared" si="40"/>
        <v>0</v>
      </c>
      <c r="AR36" s="202">
        <f t="shared" si="40"/>
        <v>1</v>
      </c>
      <c r="AS36" s="202" t="s">
        <v>217</v>
      </c>
      <c r="AT36" s="202">
        <f t="shared" si="41"/>
        <v>0</v>
      </c>
      <c r="AU36" s="202" t="str">
        <f t="shared" si="42"/>
        <v>-</v>
      </c>
      <c r="AV36" s="202">
        <f t="shared" si="43"/>
        <v>0</v>
      </c>
      <c r="AW36" s="202" t="str">
        <f t="shared" si="44"/>
        <v>-</v>
      </c>
      <c r="AX36" s="202">
        <f t="shared" si="44"/>
        <v>0</v>
      </c>
      <c r="AY36" s="231">
        <f t="shared" si="45"/>
        <v>1</v>
      </c>
      <c r="AZ36" s="341" t="str">
        <f>IF(AY36=6,E31,"")</f>
        <v/>
      </c>
      <c r="BA36" s="235">
        <f t="shared" si="46"/>
        <v>0</v>
      </c>
      <c r="BQ36" s="271">
        <f t="shared" si="47"/>
        <v>0</v>
      </c>
      <c r="BR36" s="259" t="str">
        <f>IF(BQ36=0,"",E31)</f>
        <v/>
      </c>
      <c r="BS36" s="291" t="str">
        <f t="shared" si="48"/>
        <v/>
      </c>
      <c r="BT36" s="230">
        <f t="shared" si="26"/>
        <v>0</v>
      </c>
      <c r="BU36" s="1286"/>
      <c r="BV36" s="1281"/>
      <c r="BW36" s="1282"/>
    </row>
    <row r="37" spans="1:75" ht="16.5" customHeight="1">
      <c r="A37" s="1241"/>
      <c r="B37" s="330"/>
      <c r="C37" s="282"/>
      <c r="D37" s="262" t="s">
        <v>273</v>
      </c>
      <c r="E37" s="1246"/>
      <c r="F37" s="285"/>
      <c r="G37" s="1288"/>
      <c r="H37" s="333"/>
      <c r="I37" s="342"/>
      <c r="J37" s="286" t="s">
        <v>256</v>
      </c>
      <c r="K37" s="226" t="s">
        <v>217</v>
      </c>
      <c r="L37" s="286" t="s">
        <v>263</v>
      </c>
      <c r="M37" s="248" t="s">
        <v>274</v>
      </c>
      <c r="N37" s="202">
        <f>IF(C90&gt;50,1,0)</f>
        <v>0</v>
      </c>
      <c r="O37" s="249">
        <f>IF(C92&lt;50,1,0)</f>
        <v>1</v>
      </c>
      <c r="P37" s="251">
        <f>IF(C94&gt;7,1,0)</f>
        <v>1</v>
      </c>
      <c r="Q37" s="251">
        <f t="shared" si="32"/>
        <v>0</v>
      </c>
      <c r="R37" s="202">
        <f>IF(C94&gt;=4,1,0)</f>
        <v>1</v>
      </c>
      <c r="S37" s="202">
        <f>IF(C94&lt;=7,1,0)</f>
        <v>0</v>
      </c>
      <c r="T37" s="202">
        <f t="shared" si="33"/>
        <v>1</v>
      </c>
      <c r="U37" s="254" t="s">
        <v>217</v>
      </c>
      <c r="V37" s="250" t="s">
        <v>217</v>
      </c>
      <c r="W37" s="250" t="s">
        <v>217</v>
      </c>
      <c r="X37" s="255" t="s">
        <v>217</v>
      </c>
      <c r="Y37" s="249">
        <f>IF(C85/C84&lt;1,1,0)</f>
        <v>0</v>
      </c>
      <c r="Z37" s="254" t="s">
        <v>217</v>
      </c>
      <c r="AA37" s="250" t="s">
        <v>217</v>
      </c>
      <c r="AB37" s="250" t="s">
        <v>217</v>
      </c>
      <c r="AC37" s="251" t="s">
        <v>217</v>
      </c>
      <c r="AD37" s="251">
        <f>IF(C85&gt;=15,1,0)</f>
        <v>1</v>
      </c>
      <c r="AF37" s="254">
        <f t="shared" si="34"/>
        <v>0</v>
      </c>
      <c r="AG37" s="250">
        <f t="shared" si="34"/>
        <v>1</v>
      </c>
      <c r="AH37" s="250">
        <f t="shared" si="34"/>
        <v>1</v>
      </c>
      <c r="AI37" s="250" t="s">
        <v>217</v>
      </c>
      <c r="AJ37" s="250" t="str">
        <f t="shared" si="35"/>
        <v>-</v>
      </c>
      <c r="AK37" s="250">
        <f t="shared" si="36"/>
        <v>0</v>
      </c>
      <c r="AL37" s="250" t="str">
        <f t="shared" si="37"/>
        <v>-</v>
      </c>
      <c r="AM37" s="255">
        <f t="shared" si="37"/>
        <v>1</v>
      </c>
      <c r="AN37" s="290">
        <f t="shared" si="38"/>
        <v>3</v>
      </c>
      <c r="AO37" s="346" t="str">
        <f>IF(AN37=5,E31,"")</f>
        <v/>
      </c>
      <c r="AP37" s="235">
        <f t="shared" si="39"/>
        <v>0</v>
      </c>
      <c r="AQ37" s="254">
        <f t="shared" si="40"/>
        <v>0</v>
      </c>
      <c r="AR37" s="250">
        <f t="shared" si="40"/>
        <v>1</v>
      </c>
      <c r="AS37" s="250" t="s">
        <v>217</v>
      </c>
      <c r="AT37" s="250">
        <f t="shared" si="41"/>
        <v>0</v>
      </c>
      <c r="AU37" s="250" t="str">
        <f t="shared" si="42"/>
        <v>-</v>
      </c>
      <c r="AV37" s="250">
        <f t="shared" si="43"/>
        <v>0</v>
      </c>
      <c r="AW37" s="250" t="str">
        <f t="shared" si="44"/>
        <v>-</v>
      </c>
      <c r="AX37" s="250">
        <f t="shared" si="44"/>
        <v>1</v>
      </c>
      <c r="AY37" s="254">
        <f t="shared" si="45"/>
        <v>2</v>
      </c>
      <c r="AZ37" s="352" t="str">
        <f>IF(AY37=6,E31,"")</f>
        <v/>
      </c>
      <c r="BA37" s="235">
        <f t="shared" si="46"/>
        <v>0</v>
      </c>
      <c r="BQ37" s="258">
        <f t="shared" si="47"/>
        <v>0</v>
      </c>
      <c r="BR37" s="259" t="str">
        <f>IF(BQ37=0,"",E31)</f>
        <v/>
      </c>
      <c r="BS37" s="291" t="str">
        <f t="shared" si="48"/>
        <v/>
      </c>
      <c r="BT37" s="230">
        <f t="shared" si="26"/>
        <v>0</v>
      </c>
      <c r="BU37" s="1286"/>
      <c r="BV37" s="1281"/>
      <c r="BW37" s="1282"/>
    </row>
    <row r="38" spans="1:75" ht="17.25" customHeight="1">
      <c r="A38" s="1241"/>
      <c r="B38" s="330"/>
      <c r="C38" s="282"/>
      <c r="D38" s="262"/>
      <c r="E38" s="1255" t="s">
        <v>138</v>
      </c>
      <c r="F38" s="1256" t="s">
        <v>275</v>
      </c>
      <c r="G38" s="353"/>
      <c r="H38" s="1295" t="s">
        <v>276</v>
      </c>
      <c r="I38" s="348" t="s">
        <v>252</v>
      </c>
      <c r="J38" s="335" t="s">
        <v>217</v>
      </c>
      <c r="K38" s="335" t="s">
        <v>217</v>
      </c>
      <c r="L38" s="335" t="s">
        <v>217</v>
      </c>
      <c r="M38" s="248" t="s">
        <v>277</v>
      </c>
      <c r="N38" s="202">
        <f>IF(C90&gt;50,1,0)</f>
        <v>0</v>
      </c>
      <c r="O38" s="249">
        <f>IF(C92&lt;50,1,0)</f>
        <v>1</v>
      </c>
      <c r="P38" s="229">
        <f>IF((C93/C92)&lt;0.75,1,0)</f>
        <v>0</v>
      </c>
      <c r="Q38" s="229">
        <f>IF(C94&gt;=4,1,0)</f>
        <v>1</v>
      </c>
      <c r="R38" s="202" t="s">
        <v>217</v>
      </c>
      <c r="S38" s="202" t="s">
        <v>217</v>
      </c>
      <c r="T38" s="202" t="s">
        <v>217</v>
      </c>
      <c r="U38" s="236">
        <f>IF(C91&lt;15,1,0)</f>
        <v>0</v>
      </c>
      <c r="V38" s="228" t="s">
        <v>217</v>
      </c>
      <c r="W38" s="228" t="s">
        <v>217</v>
      </c>
      <c r="X38" s="237" t="s">
        <v>217</v>
      </c>
      <c r="Y38" s="229" t="s">
        <v>217</v>
      </c>
      <c r="Z38" s="236" t="s">
        <v>217</v>
      </c>
      <c r="AA38" s="228" t="s">
        <v>217</v>
      </c>
      <c r="AB38" s="228" t="s">
        <v>217</v>
      </c>
      <c r="AC38" s="229" t="s">
        <v>217</v>
      </c>
      <c r="AD38" s="229" t="s">
        <v>217</v>
      </c>
      <c r="AF38" s="236">
        <f t="shared" si="34"/>
        <v>0</v>
      </c>
      <c r="AG38" s="228">
        <f t="shared" si="34"/>
        <v>1</v>
      </c>
      <c r="AH38" s="228">
        <f t="shared" si="34"/>
        <v>0</v>
      </c>
      <c r="AI38" s="228">
        <f t="shared" si="34"/>
        <v>1</v>
      </c>
      <c r="AJ38" s="228">
        <f t="shared" si="35"/>
        <v>0</v>
      </c>
      <c r="AK38" s="228" t="str">
        <f t="shared" si="36"/>
        <v>-</v>
      </c>
      <c r="AL38" s="228" t="str">
        <f t="shared" si="37"/>
        <v>-</v>
      </c>
      <c r="AM38" s="237" t="str">
        <f t="shared" si="37"/>
        <v>-</v>
      </c>
      <c r="AN38" s="242">
        <f t="shared" si="38"/>
        <v>2</v>
      </c>
      <c r="AO38" s="354" t="str">
        <f>IF(AN38=5,E38,"")</f>
        <v/>
      </c>
      <c r="AP38" s="235">
        <f t="shared" si="39"/>
        <v>0</v>
      </c>
      <c r="BQ38" s="244">
        <f t="shared" ref="BQ38:BQ80" si="49">AP38</f>
        <v>0</v>
      </c>
      <c r="BR38" s="259" t="str">
        <f>IF(BQ38=0,"",E38)</f>
        <v/>
      </c>
      <c r="BS38" s="291" t="str">
        <f t="shared" si="48"/>
        <v/>
      </c>
      <c r="BT38" s="230">
        <f t="shared" si="26"/>
        <v>0</v>
      </c>
      <c r="BU38" s="1286">
        <f>SUM(BT38:BT51)</f>
        <v>0</v>
      </c>
      <c r="BV38" s="1281">
        <f>IF(BW38="",0,1)</f>
        <v>0</v>
      </c>
      <c r="BW38" s="1282" t="str">
        <f>IF(BU38=0,"",E38)</f>
        <v/>
      </c>
    </row>
    <row r="39" spans="1:75" ht="17.25" customHeight="1">
      <c r="A39" s="1241"/>
      <c r="B39" s="330"/>
      <c r="C39" s="282"/>
      <c r="D39" s="262" t="s">
        <v>278</v>
      </c>
      <c r="E39" s="1294"/>
      <c r="F39" s="1305"/>
      <c r="G39" s="355"/>
      <c r="H39" s="1296"/>
      <c r="I39" s="349" t="s">
        <v>253</v>
      </c>
      <c r="J39" s="247" t="s">
        <v>254</v>
      </c>
      <c r="K39" s="247" t="s">
        <v>217</v>
      </c>
      <c r="L39" s="247" t="s">
        <v>217</v>
      </c>
      <c r="M39" s="248" t="s">
        <v>279</v>
      </c>
      <c r="N39" s="202">
        <f>IF(C90&gt;50,1,0)</f>
        <v>0</v>
      </c>
      <c r="O39" s="249">
        <f>IF(C92&lt;50,1,0)</f>
        <v>1</v>
      </c>
      <c r="P39" s="249">
        <f>IF((C93/C92)&lt;0.75,1,0)</f>
        <v>0</v>
      </c>
      <c r="Q39" s="249">
        <f>IF(C94&gt;=4,1,0)</f>
        <v>1</v>
      </c>
      <c r="R39" s="202" t="s">
        <v>217</v>
      </c>
      <c r="S39" s="202" t="s">
        <v>217</v>
      </c>
      <c r="T39" s="202" t="s">
        <v>217</v>
      </c>
      <c r="U39" s="231">
        <f>IF(X39=2,1,0)</f>
        <v>0</v>
      </c>
      <c r="V39" s="202">
        <f>IF(C91&gt;=15,1,0)</f>
        <v>1</v>
      </c>
      <c r="W39" s="202">
        <f>IF(C91&lt;=29,1,0)</f>
        <v>0</v>
      </c>
      <c r="X39" s="232">
        <f>V39+W39</f>
        <v>1</v>
      </c>
      <c r="Y39" s="249">
        <f>IF((C85/C84)&gt;=1,1,0)</f>
        <v>1</v>
      </c>
      <c r="Z39" s="231" t="s">
        <v>217</v>
      </c>
      <c r="AA39" s="202" t="s">
        <v>217</v>
      </c>
      <c r="AB39" s="202" t="s">
        <v>217</v>
      </c>
      <c r="AC39" s="249" t="s">
        <v>217</v>
      </c>
      <c r="AD39" s="249" t="s">
        <v>217</v>
      </c>
      <c r="AF39" s="231">
        <f t="shared" si="34"/>
        <v>0</v>
      </c>
      <c r="AG39" s="202">
        <f t="shared" si="34"/>
        <v>1</v>
      </c>
      <c r="AH39" s="202">
        <f t="shared" si="34"/>
        <v>0</v>
      </c>
      <c r="AI39" s="202">
        <f t="shared" si="34"/>
        <v>1</v>
      </c>
      <c r="AJ39" s="202">
        <f t="shared" si="35"/>
        <v>0</v>
      </c>
      <c r="AK39" s="202">
        <f t="shared" si="36"/>
        <v>1</v>
      </c>
      <c r="AL39" s="202" t="str">
        <f t="shared" si="37"/>
        <v>-</v>
      </c>
      <c r="AM39" s="232" t="str">
        <f t="shared" si="37"/>
        <v>-</v>
      </c>
      <c r="AN39" s="240">
        <f t="shared" si="38"/>
        <v>3</v>
      </c>
      <c r="AO39" s="356" t="str">
        <f>IF(AN39=6,E38,"")</f>
        <v/>
      </c>
      <c r="AP39" s="235">
        <f t="shared" si="39"/>
        <v>0</v>
      </c>
      <c r="BQ39" s="271">
        <f t="shared" si="49"/>
        <v>0</v>
      </c>
      <c r="BR39" s="259" t="str">
        <f>IF(BQ39=0,"",E38)</f>
        <v/>
      </c>
      <c r="BS39" s="291" t="str">
        <f t="shared" si="48"/>
        <v/>
      </c>
      <c r="BT39" s="230">
        <f t="shared" si="26"/>
        <v>0</v>
      </c>
      <c r="BU39" s="1286"/>
      <c r="BV39" s="1281"/>
      <c r="BW39" s="1282"/>
    </row>
    <row r="40" spans="1:75" ht="17.25" customHeight="1">
      <c r="A40" s="1241"/>
      <c r="B40" s="330"/>
      <c r="C40" s="282"/>
      <c r="D40" s="262"/>
      <c r="E40" s="1294"/>
      <c r="F40" s="1305"/>
      <c r="G40" s="357"/>
      <c r="H40" s="1296"/>
      <c r="I40" s="351"/>
      <c r="J40" s="247" t="s">
        <v>256</v>
      </c>
      <c r="K40" s="247" t="s">
        <v>217</v>
      </c>
      <c r="L40" s="247" t="s">
        <v>217</v>
      </c>
      <c r="M40" s="248" t="s">
        <v>280</v>
      </c>
      <c r="N40" s="202">
        <f>IF(C90&gt;50,1,0)</f>
        <v>0</v>
      </c>
      <c r="O40" s="249">
        <f>IF(C92&lt;50,1,0)</f>
        <v>1</v>
      </c>
      <c r="P40" s="249">
        <f>IF((C93/C92)&lt;0.75,1,0)</f>
        <v>0</v>
      </c>
      <c r="Q40" s="249">
        <f>IF(C94&gt;=4,1,0)</f>
        <v>1</v>
      </c>
      <c r="R40" s="202" t="s">
        <v>217</v>
      </c>
      <c r="S40" s="202" t="s">
        <v>217</v>
      </c>
      <c r="T40" s="202" t="s">
        <v>217</v>
      </c>
      <c r="U40" s="231" t="s">
        <v>217</v>
      </c>
      <c r="V40" s="202" t="s">
        <v>217</v>
      </c>
      <c r="W40" s="202" t="s">
        <v>217</v>
      </c>
      <c r="X40" s="232" t="s">
        <v>217</v>
      </c>
      <c r="Y40" s="249">
        <f>IF(C85/C84&lt;1,1,0)</f>
        <v>0</v>
      </c>
      <c r="Z40" s="231" t="s">
        <v>217</v>
      </c>
      <c r="AA40" s="202" t="s">
        <v>217</v>
      </c>
      <c r="AB40" s="202" t="s">
        <v>217</v>
      </c>
      <c r="AC40" s="249" t="s">
        <v>217</v>
      </c>
      <c r="AD40" s="249" t="s">
        <v>217</v>
      </c>
      <c r="AF40" s="231">
        <f t="shared" si="34"/>
        <v>0</v>
      </c>
      <c r="AG40" s="202">
        <f t="shared" si="34"/>
        <v>1</v>
      </c>
      <c r="AH40" s="202">
        <f t="shared" si="34"/>
        <v>0</v>
      </c>
      <c r="AI40" s="202">
        <f t="shared" si="34"/>
        <v>1</v>
      </c>
      <c r="AJ40" s="202" t="str">
        <f t="shared" si="35"/>
        <v>-</v>
      </c>
      <c r="AK40" s="202">
        <f t="shared" si="36"/>
        <v>0</v>
      </c>
      <c r="AL40" s="202" t="str">
        <f t="shared" si="37"/>
        <v>-</v>
      </c>
      <c r="AM40" s="232" t="str">
        <f t="shared" si="37"/>
        <v>-</v>
      </c>
      <c r="AN40" s="240">
        <f t="shared" si="38"/>
        <v>2</v>
      </c>
      <c r="AO40" s="356" t="str">
        <f>IF(AN40=5,E38,"")</f>
        <v/>
      </c>
      <c r="AP40" s="235">
        <f t="shared" si="39"/>
        <v>0</v>
      </c>
      <c r="BQ40" s="271">
        <f t="shared" si="49"/>
        <v>0</v>
      </c>
      <c r="BR40" s="259" t="str">
        <f>IF(BQ40=0,"",E38)</f>
        <v/>
      </c>
      <c r="BS40" s="291" t="str">
        <f t="shared" si="48"/>
        <v/>
      </c>
      <c r="BT40" s="230">
        <f t="shared" si="26"/>
        <v>0</v>
      </c>
      <c r="BU40" s="1286"/>
      <c r="BV40" s="1281"/>
      <c r="BW40" s="1282"/>
    </row>
    <row r="41" spans="1:75" ht="17.25" customHeight="1">
      <c r="A41" s="1241"/>
      <c r="B41" s="330"/>
      <c r="C41" s="282"/>
      <c r="D41" s="247"/>
      <c r="E41" s="1294"/>
      <c r="F41" s="1305"/>
      <c r="G41" s="357"/>
      <c r="H41" s="1296"/>
      <c r="I41" s="334" t="s">
        <v>257</v>
      </c>
      <c r="J41" s="247" t="s">
        <v>254</v>
      </c>
      <c r="K41" s="247" t="s">
        <v>258</v>
      </c>
      <c r="L41" s="247" t="s">
        <v>217</v>
      </c>
      <c r="M41" s="248" t="s">
        <v>281</v>
      </c>
      <c r="N41" s="202">
        <f>IF(C90&gt;50,1,0)</f>
        <v>0</v>
      </c>
      <c r="O41" s="249">
        <f>IF(C92&lt;50,1,0)</f>
        <v>1</v>
      </c>
      <c r="P41" s="249">
        <f>IF((C93/C92)&lt;0.75,1,0)</f>
        <v>0</v>
      </c>
      <c r="Q41" s="249">
        <f>IF(C94&gt;=4,1,0)</f>
        <v>1</v>
      </c>
      <c r="R41" s="202" t="s">
        <v>217</v>
      </c>
      <c r="S41" s="202" t="s">
        <v>217</v>
      </c>
      <c r="T41" s="202" t="s">
        <v>217</v>
      </c>
      <c r="U41" s="231">
        <f>IF(C91&gt;=30,1,0)</f>
        <v>1</v>
      </c>
      <c r="V41" s="202" t="s">
        <v>217</v>
      </c>
      <c r="W41" s="202" t="s">
        <v>217</v>
      </c>
      <c r="X41" s="232" t="s">
        <v>217</v>
      </c>
      <c r="Y41" s="249">
        <f>IF((C85/C84)&gt;=1,1,0)</f>
        <v>1</v>
      </c>
      <c r="Z41" s="231" t="s">
        <v>217</v>
      </c>
      <c r="AA41" s="202" t="s">
        <v>217</v>
      </c>
      <c r="AB41" s="202" t="s">
        <v>217</v>
      </c>
      <c r="AC41" s="249">
        <f>IF(C84&lt;15,1,0)</f>
        <v>0</v>
      </c>
      <c r="AD41" s="249" t="s">
        <v>217</v>
      </c>
      <c r="AF41" s="231">
        <f t="shared" si="34"/>
        <v>0</v>
      </c>
      <c r="AG41" s="202">
        <f t="shared" si="34"/>
        <v>1</v>
      </c>
      <c r="AH41" s="202">
        <f t="shared" si="34"/>
        <v>0</v>
      </c>
      <c r="AI41" s="202">
        <f t="shared" si="34"/>
        <v>1</v>
      </c>
      <c r="AJ41" s="202">
        <f t="shared" si="35"/>
        <v>1</v>
      </c>
      <c r="AK41" s="202">
        <f t="shared" si="36"/>
        <v>1</v>
      </c>
      <c r="AL41" s="202">
        <f t="shared" si="37"/>
        <v>0</v>
      </c>
      <c r="AM41" s="232" t="str">
        <f t="shared" si="37"/>
        <v>-</v>
      </c>
      <c r="AN41" s="240">
        <f t="shared" si="38"/>
        <v>4</v>
      </c>
      <c r="AO41" s="356" t="str">
        <f>IF(AN41=7,E38,"")</f>
        <v/>
      </c>
      <c r="AP41" s="235">
        <f t="shared" si="39"/>
        <v>0</v>
      </c>
      <c r="BQ41" s="271">
        <f t="shared" si="49"/>
        <v>0</v>
      </c>
      <c r="BR41" s="259" t="str">
        <f>IF(BQ41=0,"",E38)</f>
        <v/>
      </c>
      <c r="BS41" s="291" t="str">
        <f t="shared" si="48"/>
        <v/>
      </c>
      <c r="BT41" s="230">
        <f t="shared" si="26"/>
        <v>0</v>
      </c>
      <c r="BU41" s="1286"/>
      <c r="BV41" s="1281"/>
      <c r="BW41" s="1282"/>
    </row>
    <row r="42" spans="1:75" ht="17.25" customHeight="1">
      <c r="A42" s="1241"/>
      <c r="B42" s="330"/>
      <c r="C42" s="282"/>
      <c r="D42" s="247"/>
      <c r="E42" s="1294"/>
      <c r="F42" s="1305"/>
      <c r="G42" s="357"/>
      <c r="H42" s="1296"/>
      <c r="I42" s="342"/>
      <c r="J42" s="247" t="s">
        <v>254</v>
      </c>
      <c r="K42" s="247" t="s">
        <v>260</v>
      </c>
      <c r="L42" s="247" t="s">
        <v>217</v>
      </c>
      <c r="M42" s="248" t="s">
        <v>282</v>
      </c>
      <c r="N42" s="202">
        <f>IF(C90&gt;50,1,0)</f>
        <v>0</v>
      </c>
      <c r="O42" s="249">
        <f>IF(C92&lt;50,1,0)</f>
        <v>1</v>
      </c>
      <c r="P42" s="249">
        <f>IF((C93/C92)&lt;0.75,1,0)</f>
        <v>0</v>
      </c>
      <c r="Q42" s="249">
        <f>IF(C94&gt;=4,1,0)</f>
        <v>1</v>
      </c>
      <c r="R42" s="202" t="s">
        <v>217</v>
      </c>
      <c r="S42" s="202" t="s">
        <v>217</v>
      </c>
      <c r="T42" s="202" t="s">
        <v>217</v>
      </c>
      <c r="U42" s="231" t="s">
        <v>217</v>
      </c>
      <c r="V42" s="202" t="s">
        <v>217</v>
      </c>
      <c r="W42" s="202" t="s">
        <v>217</v>
      </c>
      <c r="X42" s="232" t="s">
        <v>217</v>
      </c>
      <c r="Y42" s="249">
        <f>IF((C85/C84)&gt;=1,1,0)</f>
        <v>1</v>
      </c>
      <c r="Z42" s="231" t="s">
        <v>217</v>
      </c>
      <c r="AA42" s="202" t="s">
        <v>217</v>
      </c>
      <c r="AB42" s="202" t="s">
        <v>217</v>
      </c>
      <c r="AC42" s="249">
        <f>IF(C84&gt;=15,1,0)</f>
        <v>1</v>
      </c>
      <c r="AD42" s="249" t="s">
        <v>217</v>
      </c>
      <c r="AF42" s="231">
        <f t="shared" si="34"/>
        <v>0</v>
      </c>
      <c r="AG42" s="202">
        <f t="shared" si="34"/>
        <v>1</v>
      </c>
      <c r="AH42" s="202">
        <f t="shared" si="34"/>
        <v>0</v>
      </c>
      <c r="AI42" s="202">
        <f t="shared" si="34"/>
        <v>1</v>
      </c>
      <c r="AJ42" s="202" t="str">
        <f t="shared" si="35"/>
        <v>-</v>
      </c>
      <c r="AK42" s="202">
        <f t="shared" si="36"/>
        <v>1</v>
      </c>
      <c r="AL42" s="202">
        <f t="shared" si="37"/>
        <v>1</v>
      </c>
      <c r="AM42" s="232" t="str">
        <f t="shared" si="37"/>
        <v>-</v>
      </c>
      <c r="AN42" s="240">
        <f t="shared" si="38"/>
        <v>4</v>
      </c>
      <c r="AO42" s="356" t="str">
        <f>IF(AN42=6,E38,"")</f>
        <v/>
      </c>
      <c r="AP42" s="235">
        <f t="shared" si="39"/>
        <v>0</v>
      </c>
      <c r="BQ42" s="271">
        <f t="shared" si="49"/>
        <v>0</v>
      </c>
      <c r="BR42" s="259" t="str">
        <f>IF(BQ42=0,"",E38)</f>
        <v/>
      </c>
      <c r="BS42" s="291" t="str">
        <f t="shared" si="48"/>
        <v/>
      </c>
      <c r="BT42" s="230">
        <f t="shared" si="26"/>
        <v>0</v>
      </c>
      <c r="BU42" s="1286"/>
      <c r="BV42" s="1281"/>
      <c r="BW42" s="1282"/>
    </row>
    <row r="43" spans="1:75" ht="17.25" customHeight="1">
      <c r="A43" s="1241"/>
      <c r="B43" s="330"/>
      <c r="C43" s="282"/>
      <c r="D43" s="247"/>
      <c r="E43" s="1294"/>
      <c r="F43" s="1305"/>
      <c r="G43" s="357"/>
      <c r="H43" s="1296"/>
      <c r="I43" s="342"/>
      <c r="J43" s="247" t="s">
        <v>256</v>
      </c>
      <c r="K43" s="247" t="s">
        <v>217</v>
      </c>
      <c r="L43" s="247" t="s">
        <v>261</v>
      </c>
      <c r="M43" s="248" t="s">
        <v>283</v>
      </c>
      <c r="N43" s="202">
        <f>IF(C90&gt;50,1,0)</f>
        <v>0</v>
      </c>
      <c r="O43" s="249">
        <f>IF(C92&lt;50,1,0)</f>
        <v>1</v>
      </c>
      <c r="P43" s="249">
        <f>IF((C93/C92)&lt;0.75,1,0)</f>
        <v>0</v>
      </c>
      <c r="Q43" s="249">
        <f>IF(C94&gt;=4,1,0)</f>
        <v>1</v>
      </c>
      <c r="R43" s="202" t="s">
        <v>217</v>
      </c>
      <c r="S43" s="202" t="s">
        <v>217</v>
      </c>
      <c r="T43" s="202" t="s">
        <v>217</v>
      </c>
      <c r="U43" s="231" t="s">
        <v>217</v>
      </c>
      <c r="V43" s="202" t="s">
        <v>217</v>
      </c>
      <c r="W43" s="202" t="s">
        <v>217</v>
      </c>
      <c r="X43" s="232" t="s">
        <v>217</v>
      </c>
      <c r="Y43" s="249">
        <f>IF(C85/C84&lt;1,1,0)</f>
        <v>0</v>
      </c>
      <c r="Z43" s="231" t="s">
        <v>217</v>
      </c>
      <c r="AA43" s="202" t="s">
        <v>217</v>
      </c>
      <c r="AB43" s="202" t="s">
        <v>217</v>
      </c>
      <c r="AC43" s="249" t="s">
        <v>217</v>
      </c>
      <c r="AD43" s="249">
        <f>IF(C85&lt;15,1,0)</f>
        <v>0</v>
      </c>
      <c r="AF43" s="231">
        <f t="shared" si="34"/>
        <v>0</v>
      </c>
      <c r="AG43" s="202">
        <f t="shared" si="34"/>
        <v>1</v>
      </c>
      <c r="AH43" s="202">
        <f t="shared" si="34"/>
        <v>0</v>
      </c>
      <c r="AI43" s="202">
        <f t="shared" si="34"/>
        <v>1</v>
      </c>
      <c r="AJ43" s="202" t="str">
        <f t="shared" si="35"/>
        <v>-</v>
      </c>
      <c r="AK43" s="202">
        <f t="shared" si="36"/>
        <v>0</v>
      </c>
      <c r="AL43" s="202" t="str">
        <f t="shared" si="37"/>
        <v>-</v>
      </c>
      <c r="AM43" s="232">
        <f t="shared" si="37"/>
        <v>0</v>
      </c>
      <c r="AN43" s="240">
        <f t="shared" si="38"/>
        <v>2</v>
      </c>
      <c r="AO43" s="356" t="str">
        <f>IF(AN43=6,E38,"")</f>
        <v/>
      </c>
      <c r="AP43" s="235">
        <f t="shared" si="39"/>
        <v>0</v>
      </c>
      <c r="BQ43" s="271">
        <f t="shared" si="49"/>
        <v>0</v>
      </c>
      <c r="BR43" s="259" t="str">
        <f>IF(BQ43=0,"",E38)</f>
        <v/>
      </c>
      <c r="BS43" s="291" t="str">
        <f t="shared" si="48"/>
        <v/>
      </c>
      <c r="BT43" s="230">
        <f t="shared" si="26"/>
        <v>0</v>
      </c>
      <c r="BU43" s="1286"/>
      <c r="BV43" s="1281"/>
      <c r="BW43" s="1282"/>
    </row>
    <row r="44" spans="1:75" ht="17.25" customHeight="1">
      <c r="A44" s="1241"/>
      <c r="B44" s="330"/>
      <c r="C44" s="282"/>
      <c r="D44" s="247"/>
      <c r="E44" s="1294"/>
      <c r="F44" s="1305"/>
      <c r="G44" s="358" t="s">
        <v>284</v>
      </c>
      <c r="H44" s="1297"/>
      <c r="I44" s="342"/>
      <c r="J44" s="286" t="s">
        <v>256</v>
      </c>
      <c r="K44" s="286" t="s">
        <v>217</v>
      </c>
      <c r="L44" s="286" t="s">
        <v>263</v>
      </c>
      <c r="M44" s="248" t="s">
        <v>285</v>
      </c>
      <c r="N44" s="202">
        <f>IF(C90&gt;50,1,0)</f>
        <v>0</v>
      </c>
      <c r="O44" s="249">
        <f>IF(C92&lt;50,1,0)</f>
        <v>1</v>
      </c>
      <c r="P44" s="249">
        <f>IF((C93/C92)&lt;0.75,1,0)</f>
        <v>0</v>
      </c>
      <c r="Q44" s="251">
        <f>IF(C94&gt;=4,1,0)</f>
        <v>1</v>
      </c>
      <c r="R44" s="202" t="s">
        <v>217</v>
      </c>
      <c r="S44" s="202" t="s">
        <v>217</v>
      </c>
      <c r="T44" s="202" t="s">
        <v>217</v>
      </c>
      <c r="U44" s="254" t="s">
        <v>217</v>
      </c>
      <c r="V44" s="250" t="s">
        <v>217</v>
      </c>
      <c r="W44" s="250" t="s">
        <v>217</v>
      </c>
      <c r="X44" s="255" t="s">
        <v>217</v>
      </c>
      <c r="Y44" s="251">
        <f>IF(C85/C84&lt;1,1,0)</f>
        <v>0</v>
      </c>
      <c r="Z44" s="254" t="s">
        <v>217</v>
      </c>
      <c r="AA44" s="250" t="s">
        <v>217</v>
      </c>
      <c r="AB44" s="250" t="s">
        <v>217</v>
      </c>
      <c r="AC44" s="251" t="s">
        <v>217</v>
      </c>
      <c r="AD44" s="251">
        <f>IF(C85&gt;=15,1,0)</f>
        <v>1</v>
      </c>
      <c r="AF44" s="231">
        <f t="shared" si="34"/>
        <v>0</v>
      </c>
      <c r="AG44" s="202">
        <f t="shared" si="34"/>
        <v>1</v>
      </c>
      <c r="AH44" s="202">
        <f t="shared" si="34"/>
        <v>0</v>
      </c>
      <c r="AI44" s="202">
        <f t="shared" si="34"/>
        <v>1</v>
      </c>
      <c r="AJ44" s="202" t="str">
        <f t="shared" si="35"/>
        <v>-</v>
      </c>
      <c r="AK44" s="202">
        <f t="shared" si="36"/>
        <v>0</v>
      </c>
      <c r="AL44" s="202" t="str">
        <f t="shared" si="37"/>
        <v>-</v>
      </c>
      <c r="AM44" s="232">
        <f t="shared" si="37"/>
        <v>1</v>
      </c>
      <c r="AN44" s="240">
        <f t="shared" si="38"/>
        <v>3</v>
      </c>
      <c r="AO44" s="356" t="str">
        <f>IF(AN44=6,E38,"")</f>
        <v/>
      </c>
      <c r="AP44" s="235">
        <f t="shared" si="39"/>
        <v>0</v>
      </c>
      <c r="BQ44" s="271">
        <f t="shared" si="49"/>
        <v>0</v>
      </c>
      <c r="BR44" s="259" t="str">
        <f>IF(BQ44=0,"",E38)</f>
        <v/>
      </c>
      <c r="BS44" s="291" t="str">
        <f t="shared" si="48"/>
        <v/>
      </c>
      <c r="BT44" s="230">
        <f t="shared" si="26"/>
        <v>0</v>
      </c>
      <c r="BU44" s="1286"/>
      <c r="BV44" s="1281"/>
      <c r="BW44" s="1282"/>
    </row>
    <row r="45" spans="1:75" ht="17.25" customHeight="1">
      <c r="A45" s="1241"/>
      <c r="B45" s="330"/>
      <c r="C45" s="282"/>
      <c r="D45" s="247"/>
      <c r="E45" s="1294"/>
      <c r="F45" s="1305"/>
      <c r="G45" s="357" t="s">
        <v>286</v>
      </c>
      <c r="H45" s="1295" t="s">
        <v>225</v>
      </c>
      <c r="I45" s="348" t="s">
        <v>252</v>
      </c>
      <c r="J45" s="335" t="s">
        <v>217</v>
      </c>
      <c r="K45" s="226" t="s">
        <v>217</v>
      </c>
      <c r="L45" s="335" t="s">
        <v>217</v>
      </c>
      <c r="M45" s="248" t="s">
        <v>287</v>
      </c>
      <c r="N45" s="202">
        <f>IF(C90&gt;50,1,0)</f>
        <v>0</v>
      </c>
      <c r="O45" s="249">
        <f>IF(C92&lt;50,1,0)</f>
        <v>1</v>
      </c>
      <c r="P45" s="249">
        <f>IF((C93/C92)&lt;0.75,1,0)</f>
        <v>0</v>
      </c>
      <c r="Q45" s="229">
        <f>IF(C94&lt;4,1,0)</f>
        <v>0</v>
      </c>
      <c r="R45" s="202" t="s">
        <v>217</v>
      </c>
      <c r="S45" s="202" t="s">
        <v>217</v>
      </c>
      <c r="T45" s="202" t="s">
        <v>217</v>
      </c>
      <c r="U45" s="236">
        <f>IF(C91&lt;15,1,0)</f>
        <v>0</v>
      </c>
      <c r="V45" s="228" t="s">
        <v>217</v>
      </c>
      <c r="W45" s="228" t="s">
        <v>217</v>
      </c>
      <c r="X45" s="237" t="s">
        <v>217</v>
      </c>
      <c r="Y45" s="249" t="s">
        <v>217</v>
      </c>
      <c r="Z45" s="236" t="s">
        <v>217</v>
      </c>
      <c r="AA45" s="228" t="s">
        <v>217</v>
      </c>
      <c r="AB45" s="228" t="s">
        <v>217</v>
      </c>
      <c r="AC45" s="229" t="s">
        <v>217</v>
      </c>
      <c r="AD45" s="229" t="s">
        <v>217</v>
      </c>
      <c r="AF45" s="231">
        <f t="shared" si="34"/>
        <v>0</v>
      </c>
      <c r="AG45" s="202">
        <f t="shared" si="34"/>
        <v>1</v>
      </c>
      <c r="AH45" s="202">
        <f t="shared" si="34"/>
        <v>0</v>
      </c>
      <c r="AI45" s="202">
        <f t="shared" si="34"/>
        <v>0</v>
      </c>
      <c r="AJ45" s="202">
        <f t="shared" si="35"/>
        <v>0</v>
      </c>
      <c r="AK45" s="202" t="str">
        <f t="shared" si="36"/>
        <v>-</v>
      </c>
      <c r="AL45" s="202" t="str">
        <f t="shared" si="37"/>
        <v>-</v>
      </c>
      <c r="AM45" s="232" t="str">
        <f t="shared" si="37"/>
        <v>-</v>
      </c>
      <c r="AN45" s="240">
        <f t="shared" si="38"/>
        <v>1</v>
      </c>
      <c r="AO45" s="356" t="str">
        <f>IF(AN45=5,E38,"")</f>
        <v/>
      </c>
      <c r="AP45" s="235">
        <f t="shared" si="39"/>
        <v>0</v>
      </c>
      <c r="BQ45" s="271">
        <f t="shared" si="49"/>
        <v>0</v>
      </c>
      <c r="BR45" s="259" t="str">
        <f>IF(BQ45=0,"",E38)</f>
        <v/>
      </c>
      <c r="BS45" s="291" t="str">
        <f t="shared" si="48"/>
        <v/>
      </c>
      <c r="BT45" s="230">
        <f t="shared" si="26"/>
        <v>0</v>
      </c>
      <c r="BU45" s="1286"/>
      <c r="BV45" s="1281"/>
      <c r="BW45" s="1282"/>
    </row>
    <row r="46" spans="1:75" ht="17.25" customHeight="1">
      <c r="A46" s="1241"/>
      <c r="B46" s="330"/>
      <c r="C46" s="282"/>
      <c r="D46" s="247"/>
      <c r="E46" s="1294"/>
      <c r="F46" s="1305"/>
      <c r="G46" s="357"/>
      <c r="H46" s="1296"/>
      <c r="I46" s="349" t="s">
        <v>253</v>
      </c>
      <c r="J46" s="247" t="s">
        <v>254</v>
      </c>
      <c r="K46" s="226" t="s">
        <v>217</v>
      </c>
      <c r="L46" s="247" t="s">
        <v>217</v>
      </c>
      <c r="M46" s="248" t="s">
        <v>288</v>
      </c>
      <c r="N46" s="202">
        <f>IF(C90&gt;50,1,0)</f>
        <v>0</v>
      </c>
      <c r="O46" s="249">
        <f>IF(C92&lt;50,1,0)</f>
        <v>1</v>
      </c>
      <c r="P46" s="249">
        <f>IF((C93/C92)&lt;0.75,1,0)</f>
        <v>0</v>
      </c>
      <c r="Q46" s="249">
        <f>IF(C94&lt;4,1,0)</f>
        <v>0</v>
      </c>
      <c r="R46" s="202" t="s">
        <v>217</v>
      </c>
      <c r="S46" s="202" t="s">
        <v>217</v>
      </c>
      <c r="T46" s="202" t="s">
        <v>217</v>
      </c>
      <c r="U46" s="231">
        <f>IF(X46=2,1,0)</f>
        <v>0</v>
      </c>
      <c r="V46" s="202">
        <f>IF(C91&gt;=15,1,0)</f>
        <v>1</v>
      </c>
      <c r="W46" s="202">
        <f>IF(C91&lt;=29,1,0)</f>
        <v>0</v>
      </c>
      <c r="X46" s="232">
        <f>V46+W46</f>
        <v>1</v>
      </c>
      <c r="Y46" s="249">
        <f>IF((C85/C84)&gt;=1,1,0)</f>
        <v>1</v>
      </c>
      <c r="Z46" s="231" t="s">
        <v>217</v>
      </c>
      <c r="AA46" s="202" t="s">
        <v>217</v>
      </c>
      <c r="AB46" s="202" t="s">
        <v>217</v>
      </c>
      <c r="AC46" s="249" t="s">
        <v>217</v>
      </c>
      <c r="AD46" s="249" t="s">
        <v>217</v>
      </c>
      <c r="AF46" s="231">
        <f t="shared" si="34"/>
        <v>0</v>
      </c>
      <c r="AG46" s="202">
        <f t="shared" si="34"/>
        <v>1</v>
      </c>
      <c r="AH46" s="202">
        <f t="shared" si="34"/>
        <v>0</v>
      </c>
      <c r="AI46" s="202">
        <f t="shared" si="34"/>
        <v>0</v>
      </c>
      <c r="AJ46" s="202">
        <f t="shared" si="35"/>
        <v>0</v>
      </c>
      <c r="AK46" s="202">
        <f t="shared" si="36"/>
        <v>1</v>
      </c>
      <c r="AL46" s="202" t="str">
        <f t="shared" si="37"/>
        <v>-</v>
      </c>
      <c r="AM46" s="232" t="str">
        <f t="shared" si="37"/>
        <v>-</v>
      </c>
      <c r="AN46" s="240">
        <f t="shared" si="38"/>
        <v>2</v>
      </c>
      <c r="AO46" s="356" t="str">
        <f>IF(AN46=6,E38,"")</f>
        <v/>
      </c>
      <c r="AP46" s="235">
        <f t="shared" si="39"/>
        <v>0</v>
      </c>
      <c r="BQ46" s="271">
        <f t="shared" si="49"/>
        <v>0</v>
      </c>
      <c r="BR46" s="259" t="str">
        <f>IF(BQ46=0,"",E38)</f>
        <v/>
      </c>
      <c r="BS46" s="291" t="str">
        <f t="shared" si="48"/>
        <v/>
      </c>
      <c r="BT46" s="230">
        <f t="shared" si="26"/>
        <v>0</v>
      </c>
      <c r="BU46" s="1286"/>
      <c r="BV46" s="1281"/>
      <c r="BW46" s="1282"/>
    </row>
    <row r="47" spans="1:75" ht="17.25" customHeight="1">
      <c r="A47" s="1241"/>
      <c r="B47" s="330"/>
      <c r="C47" s="223"/>
      <c r="D47" s="247"/>
      <c r="E47" s="1294"/>
      <c r="F47" s="1305"/>
      <c r="G47" s="357"/>
      <c r="H47" s="1296"/>
      <c r="I47" s="351"/>
      <c r="J47" s="247" t="s">
        <v>256</v>
      </c>
      <c r="K47" s="226" t="s">
        <v>217</v>
      </c>
      <c r="L47" s="247" t="s">
        <v>217</v>
      </c>
      <c r="M47" s="248" t="s">
        <v>289</v>
      </c>
      <c r="N47" s="202">
        <f>IF(C90&gt;50,1,0)</f>
        <v>0</v>
      </c>
      <c r="O47" s="249">
        <f>IF(C92&lt;50,1,0)</f>
        <v>1</v>
      </c>
      <c r="P47" s="249">
        <f>IF((C93/C92)&lt;0.75,1,0)</f>
        <v>0</v>
      </c>
      <c r="Q47" s="249">
        <f>IF(C94&lt;4,1,0)</f>
        <v>0</v>
      </c>
      <c r="R47" s="202" t="s">
        <v>217</v>
      </c>
      <c r="S47" s="202" t="s">
        <v>217</v>
      </c>
      <c r="T47" s="202" t="s">
        <v>217</v>
      </c>
      <c r="U47" s="231" t="s">
        <v>217</v>
      </c>
      <c r="V47" s="202" t="s">
        <v>217</v>
      </c>
      <c r="W47" s="202" t="s">
        <v>217</v>
      </c>
      <c r="X47" s="232" t="s">
        <v>217</v>
      </c>
      <c r="Y47" s="249">
        <f>IF(C85/C84&lt;1,1,0)</f>
        <v>0</v>
      </c>
      <c r="Z47" s="231" t="s">
        <v>217</v>
      </c>
      <c r="AA47" s="202" t="s">
        <v>217</v>
      </c>
      <c r="AB47" s="202" t="s">
        <v>217</v>
      </c>
      <c r="AC47" s="249" t="s">
        <v>217</v>
      </c>
      <c r="AD47" s="249" t="s">
        <v>217</v>
      </c>
      <c r="AF47" s="231">
        <f t="shared" si="34"/>
        <v>0</v>
      </c>
      <c r="AG47" s="202">
        <f t="shared" si="34"/>
        <v>1</v>
      </c>
      <c r="AH47" s="202">
        <f t="shared" si="34"/>
        <v>0</v>
      </c>
      <c r="AI47" s="202">
        <f t="shared" si="34"/>
        <v>0</v>
      </c>
      <c r="AJ47" s="202" t="str">
        <f t="shared" si="35"/>
        <v>-</v>
      </c>
      <c r="AK47" s="202">
        <f t="shared" si="36"/>
        <v>0</v>
      </c>
      <c r="AL47" s="202" t="str">
        <f t="shared" si="37"/>
        <v>-</v>
      </c>
      <c r="AM47" s="232" t="str">
        <f t="shared" si="37"/>
        <v>-</v>
      </c>
      <c r="AN47" s="240">
        <f t="shared" si="38"/>
        <v>1</v>
      </c>
      <c r="AO47" s="356" t="str">
        <f>IF(AN47=5,E38,"")</f>
        <v/>
      </c>
      <c r="AP47" s="235">
        <f t="shared" si="39"/>
        <v>0</v>
      </c>
      <c r="BQ47" s="271">
        <f t="shared" si="49"/>
        <v>0</v>
      </c>
      <c r="BR47" s="259" t="str">
        <f>IF(BQ47=0,"",E38)</f>
        <v/>
      </c>
      <c r="BS47" s="291" t="str">
        <f t="shared" si="48"/>
        <v/>
      </c>
      <c r="BT47" s="230">
        <f t="shared" si="26"/>
        <v>0</v>
      </c>
      <c r="BU47" s="1286"/>
      <c r="BV47" s="1281"/>
      <c r="BW47" s="1282"/>
    </row>
    <row r="48" spans="1:75" ht="17.25" customHeight="1">
      <c r="A48" s="1241"/>
      <c r="B48" s="330"/>
      <c r="C48" s="223"/>
      <c r="D48" s="247"/>
      <c r="E48" s="1294"/>
      <c r="F48" s="1305"/>
      <c r="G48" s="357"/>
      <c r="H48" s="1296"/>
      <c r="I48" s="349" t="s">
        <v>257</v>
      </c>
      <c r="J48" s="247" t="s">
        <v>254</v>
      </c>
      <c r="K48" s="226" t="s">
        <v>258</v>
      </c>
      <c r="L48" s="247" t="s">
        <v>217</v>
      </c>
      <c r="M48" s="248" t="s">
        <v>290</v>
      </c>
      <c r="N48" s="202">
        <f>IF(C90&gt;50,1,0)</f>
        <v>0</v>
      </c>
      <c r="O48" s="249">
        <f>IF(C92&lt;50,1,0)</f>
        <v>1</v>
      </c>
      <c r="P48" s="249">
        <f>IF((C93/C92)&lt;0.75,1,0)</f>
        <v>0</v>
      </c>
      <c r="Q48" s="249">
        <f>IF(C94&lt;4,1,0)</f>
        <v>0</v>
      </c>
      <c r="R48" s="202" t="s">
        <v>217</v>
      </c>
      <c r="S48" s="202" t="s">
        <v>217</v>
      </c>
      <c r="T48" s="202" t="s">
        <v>217</v>
      </c>
      <c r="U48" s="231">
        <f>IF(C91&gt;=30,1,0)</f>
        <v>1</v>
      </c>
      <c r="V48" s="202" t="s">
        <v>217</v>
      </c>
      <c r="W48" s="202" t="s">
        <v>217</v>
      </c>
      <c r="X48" s="232" t="s">
        <v>217</v>
      </c>
      <c r="Y48" s="249">
        <f>IF((C85/C84)&gt;=1,1,0)</f>
        <v>1</v>
      </c>
      <c r="Z48" s="231" t="s">
        <v>217</v>
      </c>
      <c r="AA48" s="202" t="s">
        <v>217</v>
      </c>
      <c r="AB48" s="202" t="s">
        <v>217</v>
      </c>
      <c r="AC48" s="249">
        <f>IF(C84&lt;15,1,0)</f>
        <v>0</v>
      </c>
      <c r="AD48" s="249" t="s">
        <v>217</v>
      </c>
      <c r="AF48" s="231">
        <f t="shared" si="34"/>
        <v>0</v>
      </c>
      <c r="AG48" s="202">
        <f t="shared" si="34"/>
        <v>1</v>
      </c>
      <c r="AH48" s="202">
        <f t="shared" si="34"/>
        <v>0</v>
      </c>
      <c r="AI48" s="202">
        <f t="shared" si="34"/>
        <v>0</v>
      </c>
      <c r="AJ48" s="202">
        <f t="shared" si="35"/>
        <v>1</v>
      </c>
      <c r="AK48" s="202">
        <f t="shared" si="36"/>
        <v>1</v>
      </c>
      <c r="AL48" s="202">
        <f t="shared" si="37"/>
        <v>0</v>
      </c>
      <c r="AM48" s="232" t="str">
        <f t="shared" si="37"/>
        <v>-</v>
      </c>
      <c r="AN48" s="240">
        <f t="shared" si="38"/>
        <v>3</v>
      </c>
      <c r="AO48" s="356" t="str">
        <f>IF(AN48=7,E38,"")</f>
        <v/>
      </c>
      <c r="AP48" s="235">
        <f t="shared" si="39"/>
        <v>0</v>
      </c>
      <c r="BQ48" s="271">
        <f t="shared" si="49"/>
        <v>0</v>
      </c>
      <c r="BR48" s="259" t="str">
        <f>IF(BQ48=0,"",E38)</f>
        <v/>
      </c>
      <c r="BS48" s="291" t="str">
        <f t="shared" si="48"/>
        <v/>
      </c>
      <c r="BT48" s="230">
        <f t="shared" si="26"/>
        <v>0</v>
      </c>
      <c r="BU48" s="1286"/>
      <c r="BV48" s="1281"/>
      <c r="BW48" s="1282"/>
    </row>
    <row r="49" spans="1:75" ht="17.25" customHeight="1">
      <c r="A49" s="1241"/>
      <c r="B49" s="274" t="s">
        <v>229</v>
      </c>
      <c r="C49" s="274"/>
      <c r="D49" s="247"/>
      <c r="E49" s="1294"/>
      <c r="F49" s="1305"/>
      <c r="G49" s="357"/>
      <c r="H49" s="1296"/>
      <c r="I49" s="351"/>
      <c r="J49" s="247" t="s">
        <v>254</v>
      </c>
      <c r="K49" s="226" t="s">
        <v>260</v>
      </c>
      <c r="L49" s="247" t="s">
        <v>217</v>
      </c>
      <c r="M49" s="248" t="s">
        <v>291</v>
      </c>
      <c r="N49" s="202">
        <f>IF(C90&gt;50,1,0)</f>
        <v>0</v>
      </c>
      <c r="O49" s="249">
        <f>IF(C92&lt;50,1,0)</f>
        <v>1</v>
      </c>
      <c r="P49" s="249">
        <f>IF((C93/C92)&lt;0.75,1,0)</f>
        <v>0</v>
      </c>
      <c r="Q49" s="249">
        <f>IF(C94&lt;4,1,0)</f>
        <v>0</v>
      </c>
      <c r="R49" s="202" t="s">
        <v>217</v>
      </c>
      <c r="S49" s="202" t="s">
        <v>217</v>
      </c>
      <c r="T49" s="202" t="s">
        <v>217</v>
      </c>
      <c r="U49" s="231" t="s">
        <v>217</v>
      </c>
      <c r="V49" s="202" t="s">
        <v>217</v>
      </c>
      <c r="W49" s="202" t="s">
        <v>217</v>
      </c>
      <c r="X49" s="232" t="s">
        <v>217</v>
      </c>
      <c r="Y49" s="249">
        <f>IF((C85/C84)&gt;=1,1,0)</f>
        <v>1</v>
      </c>
      <c r="Z49" s="231" t="s">
        <v>217</v>
      </c>
      <c r="AA49" s="202" t="s">
        <v>217</v>
      </c>
      <c r="AB49" s="202" t="s">
        <v>217</v>
      </c>
      <c r="AC49" s="249">
        <f>IF(C84&gt;=15,1,0)</f>
        <v>1</v>
      </c>
      <c r="AD49" s="249" t="s">
        <v>217</v>
      </c>
      <c r="AF49" s="231">
        <f t="shared" si="34"/>
        <v>0</v>
      </c>
      <c r="AG49" s="202">
        <f t="shared" si="34"/>
        <v>1</v>
      </c>
      <c r="AH49" s="202">
        <f t="shared" si="34"/>
        <v>0</v>
      </c>
      <c r="AI49" s="202">
        <f t="shared" si="34"/>
        <v>0</v>
      </c>
      <c r="AJ49" s="202" t="str">
        <f t="shared" si="35"/>
        <v>-</v>
      </c>
      <c r="AK49" s="202">
        <f t="shared" si="36"/>
        <v>1</v>
      </c>
      <c r="AL49" s="202">
        <f t="shared" si="37"/>
        <v>1</v>
      </c>
      <c r="AM49" s="232" t="str">
        <f t="shared" si="37"/>
        <v>-</v>
      </c>
      <c r="AN49" s="240">
        <f t="shared" si="38"/>
        <v>3</v>
      </c>
      <c r="AO49" s="356" t="str">
        <f>IF(AN49=6,E38,"")</f>
        <v/>
      </c>
      <c r="AP49" s="235">
        <f t="shared" si="39"/>
        <v>0</v>
      </c>
      <c r="BQ49" s="271">
        <f t="shared" si="49"/>
        <v>0</v>
      </c>
      <c r="BR49" s="259" t="str">
        <f>IF(BQ49=0,"",E38)</f>
        <v/>
      </c>
      <c r="BS49" s="291" t="str">
        <f t="shared" si="48"/>
        <v/>
      </c>
      <c r="BT49" s="230">
        <f t="shared" si="26"/>
        <v>0</v>
      </c>
      <c r="BU49" s="1286"/>
      <c r="BV49" s="1281"/>
      <c r="BW49" s="1282"/>
    </row>
    <row r="50" spans="1:75" ht="17.25" customHeight="1">
      <c r="A50" s="1241"/>
      <c r="B50" s="274" t="s">
        <v>233</v>
      </c>
      <c r="C50" s="274"/>
      <c r="D50" s="247"/>
      <c r="E50" s="1294"/>
      <c r="F50" s="1305"/>
      <c r="G50" s="357"/>
      <c r="H50" s="1296"/>
      <c r="I50" s="351"/>
      <c r="J50" s="247" t="s">
        <v>256</v>
      </c>
      <c r="K50" s="226" t="s">
        <v>217</v>
      </c>
      <c r="L50" s="247" t="s">
        <v>261</v>
      </c>
      <c r="M50" s="248" t="s">
        <v>292</v>
      </c>
      <c r="N50" s="202">
        <f>IF(C90&gt;50,1,0)</f>
        <v>0</v>
      </c>
      <c r="O50" s="249">
        <f>IF(C92&lt;50,1,0)</f>
        <v>1</v>
      </c>
      <c r="P50" s="249">
        <f>IF((C93/C92)&lt;0.75,1,0)</f>
        <v>0</v>
      </c>
      <c r="Q50" s="249">
        <f>IF(C94&lt;4,1,0)</f>
        <v>0</v>
      </c>
      <c r="R50" s="202" t="s">
        <v>217</v>
      </c>
      <c r="S50" s="202" t="s">
        <v>217</v>
      </c>
      <c r="T50" s="202" t="s">
        <v>217</v>
      </c>
      <c r="U50" s="231" t="s">
        <v>217</v>
      </c>
      <c r="V50" s="202" t="s">
        <v>217</v>
      </c>
      <c r="W50" s="202" t="s">
        <v>217</v>
      </c>
      <c r="X50" s="232" t="s">
        <v>217</v>
      </c>
      <c r="Y50" s="249">
        <f>IF(C85/C84&lt;1,1,0)</f>
        <v>0</v>
      </c>
      <c r="Z50" s="231" t="s">
        <v>217</v>
      </c>
      <c r="AA50" s="202" t="s">
        <v>217</v>
      </c>
      <c r="AB50" s="202" t="s">
        <v>217</v>
      </c>
      <c r="AC50" s="249" t="s">
        <v>217</v>
      </c>
      <c r="AD50" s="249">
        <f>IF(C85&lt;15,1,0)</f>
        <v>0</v>
      </c>
      <c r="AF50" s="231">
        <f t="shared" si="34"/>
        <v>0</v>
      </c>
      <c r="AG50" s="202">
        <f t="shared" si="34"/>
        <v>1</v>
      </c>
      <c r="AH50" s="202">
        <f t="shared" si="34"/>
        <v>0</v>
      </c>
      <c r="AI50" s="202">
        <f t="shared" si="34"/>
        <v>0</v>
      </c>
      <c r="AJ50" s="202" t="str">
        <f t="shared" si="35"/>
        <v>-</v>
      </c>
      <c r="AK50" s="202">
        <f t="shared" si="36"/>
        <v>0</v>
      </c>
      <c r="AL50" s="202" t="str">
        <f t="shared" si="37"/>
        <v>-</v>
      </c>
      <c r="AM50" s="232">
        <f t="shared" si="37"/>
        <v>0</v>
      </c>
      <c r="AN50" s="240">
        <f t="shared" si="38"/>
        <v>1</v>
      </c>
      <c r="AO50" s="356" t="str">
        <f>IF(AN50=6,E38,"")</f>
        <v/>
      </c>
      <c r="AP50" s="235">
        <f t="shared" si="39"/>
        <v>0</v>
      </c>
      <c r="BQ50" s="271">
        <f t="shared" si="49"/>
        <v>0</v>
      </c>
      <c r="BR50" s="259" t="str">
        <f>IF(BQ50=0,"",E38)</f>
        <v/>
      </c>
      <c r="BS50" s="291" t="str">
        <f t="shared" si="48"/>
        <v/>
      </c>
      <c r="BT50" s="230">
        <f t="shared" si="26"/>
        <v>0</v>
      </c>
      <c r="BU50" s="1286"/>
      <c r="BV50" s="1281"/>
      <c r="BW50" s="1282"/>
    </row>
    <row r="51" spans="1:75" ht="17.25" customHeight="1">
      <c r="A51" s="1241"/>
      <c r="B51" s="274" t="s">
        <v>293</v>
      </c>
      <c r="C51" s="274"/>
      <c r="D51" s="286"/>
      <c r="E51" s="1246"/>
      <c r="F51" s="1248"/>
      <c r="G51" s="359"/>
      <c r="H51" s="1297"/>
      <c r="I51" s="360"/>
      <c r="J51" s="286" t="s">
        <v>256</v>
      </c>
      <c r="K51" s="226" t="s">
        <v>217</v>
      </c>
      <c r="L51" s="286" t="s">
        <v>263</v>
      </c>
      <c r="M51" s="248" t="s">
        <v>294</v>
      </c>
      <c r="N51" s="202">
        <f>IF(C90&gt;50,1,0)</f>
        <v>0</v>
      </c>
      <c r="O51" s="251">
        <f>IF(C92&lt;50,1,0)</f>
        <v>1</v>
      </c>
      <c r="P51" s="251">
        <f>IF((C93/C92)&lt;0.75,1,0)</f>
        <v>0</v>
      </c>
      <c r="Q51" s="251">
        <f>IF(C94&lt;4,1,0)</f>
        <v>0</v>
      </c>
      <c r="R51" s="202" t="s">
        <v>217</v>
      </c>
      <c r="S51" s="202" t="s">
        <v>217</v>
      </c>
      <c r="T51" s="202" t="s">
        <v>217</v>
      </c>
      <c r="U51" s="254" t="s">
        <v>217</v>
      </c>
      <c r="V51" s="250" t="s">
        <v>217</v>
      </c>
      <c r="W51" s="250" t="s">
        <v>217</v>
      </c>
      <c r="X51" s="255" t="s">
        <v>217</v>
      </c>
      <c r="Y51" s="251">
        <f>IF(C85/C84&lt;1,1,0)</f>
        <v>0</v>
      </c>
      <c r="Z51" s="254" t="s">
        <v>217</v>
      </c>
      <c r="AA51" s="250" t="s">
        <v>217</v>
      </c>
      <c r="AB51" s="250" t="s">
        <v>217</v>
      </c>
      <c r="AC51" s="251" t="s">
        <v>217</v>
      </c>
      <c r="AD51" s="251">
        <f>IF(C85&gt;=15,1,0)</f>
        <v>1</v>
      </c>
      <c r="AF51" s="231">
        <f t="shared" si="34"/>
        <v>0</v>
      </c>
      <c r="AG51" s="202">
        <f t="shared" si="34"/>
        <v>1</v>
      </c>
      <c r="AH51" s="202">
        <f t="shared" si="34"/>
        <v>0</v>
      </c>
      <c r="AI51" s="202">
        <f t="shared" si="34"/>
        <v>0</v>
      </c>
      <c r="AJ51" s="202" t="str">
        <f t="shared" si="35"/>
        <v>-</v>
      </c>
      <c r="AK51" s="202">
        <f t="shared" si="36"/>
        <v>0</v>
      </c>
      <c r="AL51" s="202" t="str">
        <f t="shared" si="37"/>
        <v>-</v>
      </c>
      <c r="AM51" s="232">
        <f t="shared" si="37"/>
        <v>1</v>
      </c>
      <c r="AN51" s="256">
        <f t="shared" si="38"/>
        <v>2</v>
      </c>
      <c r="AO51" s="356" t="str">
        <f>IF(AN51=6,E38,"")</f>
        <v/>
      </c>
      <c r="AP51" s="235">
        <f t="shared" si="39"/>
        <v>0</v>
      </c>
      <c r="BQ51" s="258">
        <f t="shared" si="49"/>
        <v>0</v>
      </c>
      <c r="BR51" s="259" t="str">
        <f>IF(BQ51=0,"",E38)</f>
        <v/>
      </c>
      <c r="BS51" s="291" t="str">
        <f t="shared" si="48"/>
        <v/>
      </c>
      <c r="BT51" s="230">
        <f t="shared" si="26"/>
        <v>0</v>
      </c>
      <c r="BU51" s="1286"/>
      <c r="BV51" s="1281"/>
      <c r="BW51" s="1282"/>
    </row>
    <row r="52" spans="1:75" ht="17.25" customHeight="1">
      <c r="A52" s="1241"/>
      <c r="B52" s="274" t="s">
        <v>239</v>
      </c>
      <c r="C52" s="274"/>
      <c r="D52" s="332"/>
      <c r="E52" s="1255" t="s">
        <v>140</v>
      </c>
      <c r="F52" s="283"/>
      <c r="G52" s="1298" t="s">
        <v>225</v>
      </c>
      <c r="H52" s="1299"/>
      <c r="I52" s="349" t="s">
        <v>252</v>
      </c>
      <c r="J52" s="335" t="s">
        <v>217</v>
      </c>
      <c r="K52" s="335" t="s">
        <v>217</v>
      </c>
      <c r="L52" s="335" t="s">
        <v>217</v>
      </c>
      <c r="M52" s="248" t="s">
        <v>295</v>
      </c>
      <c r="N52" s="202">
        <f>IF(C90&gt;50,1,0)</f>
        <v>0</v>
      </c>
      <c r="O52" s="229">
        <f>IF(C92&gt;=50,1,0)</f>
        <v>0</v>
      </c>
      <c r="P52" s="229">
        <f>IF(C94&lt;4,1,0)</f>
        <v>0</v>
      </c>
      <c r="Q52" s="202" t="s">
        <v>217</v>
      </c>
      <c r="R52" s="202" t="s">
        <v>217</v>
      </c>
      <c r="S52" s="202" t="s">
        <v>217</v>
      </c>
      <c r="T52" s="202" t="s">
        <v>217</v>
      </c>
      <c r="U52" s="236">
        <f>IF(C91&lt;15,1,0)</f>
        <v>0</v>
      </c>
      <c r="V52" s="228" t="s">
        <v>217</v>
      </c>
      <c r="W52" s="228" t="s">
        <v>217</v>
      </c>
      <c r="X52" s="237" t="s">
        <v>217</v>
      </c>
      <c r="Y52" s="229" t="s">
        <v>217</v>
      </c>
      <c r="Z52" s="236" t="s">
        <v>217</v>
      </c>
      <c r="AA52" s="228" t="s">
        <v>217</v>
      </c>
      <c r="AB52" s="228" t="s">
        <v>217</v>
      </c>
      <c r="AC52" s="229" t="s">
        <v>217</v>
      </c>
      <c r="AD52" s="229" t="s">
        <v>217</v>
      </c>
      <c r="AF52" s="236">
        <f t="shared" si="34"/>
        <v>0</v>
      </c>
      <c r="AG52" s="228">
        <f t="shared" si="34"/>
        <v>0</v>
      </c>
      <c r="AH52" s="228">
        <f t="shared" si="34"/>
        <v>0</v>
      </c>
      <c r="AI52" s="228" t="s">
        <v>217</v>
      </c>
      <c r="AJ52" s="228">
        <f t="shared" si="35"/>
        <v>0</v>
      </c>
      <c r="AK52" s="228" t="str">
        <f t="shared" si="36"/>
        <v>-</v>
      </c>
      <c r="AL52" s="228" t="str">
        <f t="shared" si="37"/>
        <v>-</v>
      </c>
      <c r="AM52" s="237" t="str">
        <f t="shared" si="37"/>
        <v>-</v>
      </c>
      <c r="AN52" s="336">
        <f t="shared" si="38"/>
        <v>0</v>
      </c>
      <c r="AO52" s="361" t="str">
        <f>IF(AN52=4,E52,"")</f>
        <v/>
      </c>
      <c r="AP52" s="235">
        <f t="shared" si="39"/>
        <v>0</v>
      </c>
      <c r="BQ52" s="244">
        <f t="shared" si="49"/>
        <v>0</v>
      </c>
      <c r="BR52" s="259" t="str">
        <f>IF(BQ52=0,"",E52)</f>
        <v/>
      </c>
      <c r="BS52" s="291" t="str">
        <f t="shared" si="48"/>
        <v/>
      </c>
      <c r="BT52" s="230">
        <f t="shared" si="26"/>
        <v>0</v>
      </c>
      <c r="BU52" s="1286">
        <f>SUM(BT52:BT58)</f>
        <v>0</v>
      </c>
      <c r="BV52" s="1281">
        <f>IF(BW52="",0,1)</f>
        <v>0</v>
      </c>
      <c r="BW52" s="1282" t="str">
        <f>IF(BU52=0,"",E52)</f>
        <v/>
      </c>
    </row>
    <row r="53" spans="1:75" ht="17.25" customHeight="1">
      <c r="A53" s="1241"/>
      <c r="B53" s="330"/>
      <c r="C53" s="282"/>
      <c r="D53" s="223"/>
      <c r="E53" s="1294"/>
      <c r="F53" s="223"/>
      <c r="G53" s="1300"/>
      <c r="H53" s="1301"/>
      <c r="I53" s="349" t="s">
        <v>253</v>
      </c>
      <c r="J53" s="247" t="s">
        <v>254</v>
      </c>
      <c r="K53" s="247" t="s">
        <v>217</v>
      </c>
      <c r="L53" s="247" t="s">
        <v>217</v>
      </c>
      <c r="M53" s="248" t="s">
        <v>296</v>
      </c>
      <c r="N53" s="202">
        <f>IF(C90&gt;50,1,0)</f>
        <v>0</v>
      </c>
      <c r="O53" s="249">
        <f>IF(C92&gt;=50,1,0)</f>
        <v>0</v>
      </c>
      <c r="P53" s="249">
        <f>IF(C94&lt;4,1,0)</f>
        <v>0</v>
      </c>
      <c r="Q53" s="202" t="s">
        <v>217</v>
      </c>
      <c r="R53" s="202" t="s">
        <v>217</v>
      </c>
      <c r="S53" s="202" t="s">
        <v>217</v>
      </c>
      <c r="T53" s="202" t="s">
        <v>217</v>
      </c>
      <c r="U53" s="231">
        <f>IF(X53=2,1,0)</f>
        <v>0</v>
      </c>
      <c r="V53" s="202">
        <f>IF(C91&gt;=15,1,0)</f>
        <v>1</v>
      </c>
      <c r="W53" s="202">
        <f>IF(C91&lt;=29,1,0)</f>
        <v>0</v>
      </c>
      <c r="X53" s="232">
        <f>V53+W53</f>
        <v>1</v>
      </c>
      <c r="Y53" s="249">
        <f>IF((C85/C84)&gt;=1,1,0)</f>
        <v>1</v>
      </c>
      <c r="Z53" s="231" t="s">
        <v>217</v>
      </c>
      <c r="AA53" s="202" t="s">
        <v>217</v>
      </c>
      <c r="AB53" s="202" t="s">
        <v>217</v>
      </c>
      <c r="AC53" s="249" t="s">
        <v>217</v>
      </c>
      <c r="AD53" s="249" t="s">
        <v>217</v>
      </c>
      <c r="AF53" s="231">
        <f t="shared" si="34"/>
        <v>0</v>
      </c>
      <c r="AG53" s="202">
        <f t="shared" si="34"/>
        <v>0</v>
      </c>
      <c r="AH53" s="202">
        <f t="shared" si="34"/>
        <v>0</v>
      </c>
      <c r="AI53" s="202" t="s">
        <v>217</v>
      </c>
      <c r="AJ53" s="202">
        <f t="shared" si="35"/>
        <v>0</v>
      </c>
      <c r="AK53" s="202">
        <f t="shared" si="36"/>
        <v>1</v>
      </c>
      <c r="AL53" s="202" t="str">
        <f t="shared" si="37"/>
        <v>-</v>
      </c>
      <c r="AM53" s="232" t="str">
        <f t="shared" si="37"/>
        <v>-</v>
      </c>
      <c r="AN53" s="265">
        <f t="shared" si="38"/>
        <v>1</v>
      </c>
      <c r="AO53" s="362" t="str">
        <f>IF(AN53=5,E52,"")</f>
        <v/>
      </c>
      <c r="AP53" s="235">
        <f t="shared" si="39"/>
        <v>0</v>
      </c>
      <c r="BQ53" s="271">
        <f t="shared" si="49"/>
        <v>0</v>
      </c>
      <c r="BR53" s="259" t="str">
        <f>IF(BQ53=0,"",E52)</f>
        <v/>
      </c>
      <c r="BS53" s="291" t="str">
        <f t="shared" si="48"/>
        <v/>
      </c>
      <c r="BT53" s="230">
        <f t="shared" si="26"/>
        <v>0</v>
      </c>
      <c r="BU53" s="1286"/>
      <c r="BV53" s="1281"/>
      <c r="BW53" s="1282"/>
    </row>
    <row r="54" spans="1:75" ht="17.25" customHeight="1">
      <c r="A54" s="1241"/>
      <c r="B54" s="330"/>
      <c r="C54" s="282"/>
      <c r="D54" s="223"/>
      <c r="E54" s="1294"/>
      <c r="F54" s="1304" t="s">
        <v>297</v>
      </c>
      <c r="G54" s="1300"/>
      <c r="H54" s="1301"/>
      <c r="I54" s="351"/>
      <c r="J54" s="247" t="s">
        <v>256</v>
      </c>
      <c r="K54" s="247" t="s">
        <v>217</v>
      </c>
      <c r="L54" s="247" t="s">
        <v>217</v>
      </c>
      <c r="M54" s="248" t="s">
        <v>298</v>
      </c>
      <c r="N54" s="202">
        <f>IF(C90&gt;50,1,0)</f>
        <v>0</v>
      </c>
      <c r="O54" s="249">
        <f>IF(C92&gt;=50,1,0)</f>
        <v>0</v>
      </c>
      <c r="P54" s="249">
        <f>IF(C94&lt;4,1,0)</f>
        <v>0</v>
      </c>
      <c r="Q54" s="202" t="s">
        <v>217</v>
      </c>
      <c r="R54" s="202" t="s">
        <v>217</v>
      </c>
      <c r="S54" s="202" t="s">
        <v>217</v>
      </c>
      <c r="T54" s="202" t="s">
        <v>217</v>
      </c>
      <c r="U54" s="231" t="s">
        <v>217</v>
      </c>
      <c r="V54" s="202" t="s">
        <v>217</v>
      </c>
      <c r="W54" s="202" t="s">
        <v>217</v>
      </c>
      <c r="X54" s="232" t="s">
        <v>217</v>
      </c>
      <c r="Y54" s="249">
        <f>IF(C85/C84&lt;1,1,0)</f>
        <v>0</v>
      </c>
      <c r="Z54" s="231" t="s">
        <v>217</v>
      </c>
      <c r="AA54" s="202" t="s">
        <v>217</v>
      </c>
      <c r="AB54" s="202" t="s">
        <v>217</v>
      </c>
      <c r="AC54" s="249" t="s">
        <v>217</v>
      </c>
      <c r="AD54" s="249" t="s">
        <v>217</v>
      </c>
      <c r="AF54" s="231">
        <f t="shared" si="34"/>
        <v>0</v>
      </c>
      <c r="AG54" s="202">
        <f t="shared" si="34"/>
        <v>0</v>
      </c>
      <c r="AH54" s="202">
        <f t="shared" si="34"/>
        <v>0</v>
      </c>
      <c r="AI54" s="202" t="s">
        <v>217</v>
      </c>
      <c r="AJ54" s="202" t="str">
        <f t="shared" si="35"/>
        <v>-</v>
      </c>
      <c r="AK54" s="202">
        <f t="shared" si="36"/>
        <v>0</v>
      </c>
      <c r="AL54" s="202" t="str">
        <f t="shared" si="37"/>
        <v>-</v>
      </c>
      <c r="AM54" s="232" t="str">
        <f t="shared" si="37"/>
        <v>-</v>
      </c>
      <c r="AN54" s="265">
        <f t="shared" si="38"/>
        <v>0</v>
      </c>
      <c r="AO54" s="362" t="str">
        <f>IF(AN54=4,E52,"")</f>
        <v/>
      </c>
      <c r="AP54" s="235">
        <f t="shared" si="39"/>
        <v>0</v>
      </c>
      <c r="BQ54" s="271">
        <f t="shared" si="49"/>
        <v>0</v>
      </c>
      <c r="BR54" s="259" t="str">
        <f>IF(BQ54=0,"",E52)</f>
        <v/>
      </c>
      <c r="BS54" s="291" t="str">
        <f t="shared" si="48"/>
        <v/>
      </c>
      <c r="BT54" s="230">
        <f t="shared" si="26"/>
        <v>0</v>
      </c>
      <c r="BU54" s="1286"/>
      <c r="BV54" s="1281"/>
      <c r="BW54" s="1282"/>
    </row>
    <row r="55" spans="1:75" ht="17.25" customHeight="1">
      <c r="A55" s="1241"/>
      <c r="B55" s="330"/>
      <c r="C55" s="282"/>
      <c r="D55" s="223"/>
      <c r="E55" s="1294"/>
      <c r="F55" s="1304"/>
      <c r="G55" s="1300"/>
      <c r="H55" s="1301"/>
      <c r="I55" s="334" t="s">
        <v>257</v>
      </c>
      <c r="J55" s="247" t="s">
        <v>254</v>
      </c>
      <c r="K55" s="247" t="s">
        <v>258</v>
      </c>
      <c r="L55" s="247" t="s">
        <v>217</v>
      </c>
      <c r="M55" s="248" t="s">
        <v>299</v>
      </c>
      <c r="N55" s="202">
        <f>IF(C90&gt;50,1,0)</f>
        <v>0</v>
      </c>
      <c r="O55" s="249">
        <f>IF(C92&gt;=50,1,0)</f>
        <v>0</v>
      </c>
      <c r="P55" s="249">
        <f>IF(C94&lt;4,1,0)</f>
        <v>0</v>
      </c>
      <c r="Q55" s="202" t="s">
        <v>217</v>
      </c>
      <c r="R55" s="202" t="s">
        <v>217</v>
      </c>
      <c r="S55" s="202" t="s">
        <v>217</v>
      </c>
      <c r="T55" s="202" t="s">
        <v>217</v>
      </c>
      <c r="U55" s="231">
        <f>IF(C91&gt;=30,1,0)</f>
        <v>1</v>
      </c>
      <c r="V55" s="202" t="s">
        <v>217</v>
      </c>
      <c r="W55" s="202" t="s">
        <v>217</v>
      </c>
      <c r="X55" s="232" t="s">
        <v>217</v>
      </c>
      <c r="Y55" s="249">
        <f>IF((C85/C84)&gt;=1,1,0)</f>
        <v>1</v>
      </c>
      <c r="Z55" s="231" t="s">
        <v>217</v>
      </c>
      <c r="AA55" s="202" t="s">
        <v>217</v>
      </c>
      <c r="AB55" s="202" t="s">
        <v>217</v>
      </c>
      <c r="AC55" s="249">
        <f>IF(C84&lt;15,1,0)</f>
        <v>0</v>
      </c>
      <c r="AD55" s="249" t="s">
        <v>217</v>
      </c>
      <c r="AF55" s="231">
        <f t="shared" si="34"/>
        <v>0</v>
      </c>
      <c r="AG55" s="202">
        <f t="shared" si="34"/>
        <v>0</v>
      </c>
      <c r="AH55" s="202">
        <f t="shared" si="34"/>
        <v>0</v>
      </c>
      <c r="AI55" s="202" t="s">
        <v>217</v>
      </c>
      <c r="AJ55" s="202">
        <f t="shared" si="35"/>
        <v>1</v>
      </c>
      <c r="AK55" s="202">
        <f t="shared" si="36"/>
        <v>1</v>
      </c>
      <c r="AL55" s="202">
        <f t="shared" si="37"/>
        <v>0</v>
      </c>
      <c r="AM55" s="232" t="str">
        <f t="shared" si="37"/>
        <v>-</v>
      </c>
      <c r="AN55" s="265">
        <f t="shared" si="38"/>
        <v>2</v>
      </c>
      <c r="AO55" s="362" t="str">
        <f>IF(AN55=6,E52,"")</f>
        <v/>
      </c>
      <c r="AP55" s="235">
        <f t="shared" si="39"/>
        <v>0</v>
      </c>
      <c r="BQ55" s="271">
        <f t="shared" si="49"/>
        <v>0</v>
      </c>
      <c r="BR55" s="259" t="str">
        <f>IF(BQ55=0,"",E52)</f>
        <v/>
      </c>
      <c r="BS55" s="291" t="str">
        <f t="shared" si="48"/>
        <v/>
      </c>
      <c r="BT55" s="230">
        <f t="shared" si="26"/>
        <v>0</v>
      </c>
      <c r="BU55" s="1286"/>
      <c r="BV55" s="1281"/>
      <c r="BW55" s="1282"/>
    </row>
    <row r="56" spans="1:75" ht="17.25" customHeight="1">
      <c r="A56" s="1241"/>
      <c r="B56" s="330"/>
      <c r="C56" s="282"/>
      <c r="D56" s="223"/>
      <c r="E56" s="1294"/>
      <c r="F56" s="363" t="s">
        <v>300</v>
      </c>
      <c r="G56" s="1300"/>
      <c r="H56" s="1301"/>
      <c r="I56" s="342"/>
      <c r="J56" s="247" t="s">
        <v>254</v>
      </c>
      <c r="K56" s="247" t="s">
        <v>260</v>
      </c>
      <c r="L56" s="247" t="s">
        <v>217</v>
      </c>
      <c r="M56" s="364" t="s">
        <v>301</v>
      </c>
      <c r="N56" s="202">
        <f>IF(C90&gt;50,1,0)</f>
        <v>0</v>
      </c>
      <c r="O56" s="249">
        <f>IF(C92&gt;=50,1,0)</f>
        <v>0</v>
      </c>
      <c r="P56" s="249">
        <f>IF(C94&lt;4,1,0)</f>
        <v>0</v>
      </c>
      <c r="Q56" s="202" t="s">
        <v>217</v>
      </c>
      <c r="R56" s="202" t="s">
        <v>217</v>
      </c>
      <c r="S56" s="202" t="s">
        <v>217</v>
      </c>
      <c r="T56" s="202" t="s">
        <v>217</v>
      </c>
      <c r="U56" s="231" t="s">
        <v>217</v>
      </c>
      <c r="V56" s="202" t="s">
        <v>217</v>
      </c>
      <c r="W56" s="202" t="s">
        <v>217</v>
      </c>
      <c r="X56" s="232" t="s">
        <v>217</v>
      </c>
      <c r="Y56" s="249">
        <f>IF((C85/C84)&gt;=1,1,0)</f>
        <v>1</v>
      </c>
      <c r="Z56" s="231" t="s">
        <v>217</v>
      </c>
      <c r="AA56" s="202" t="s">
        <v>217</v>
      </c>
      <c r="AB56" s="202" t="s">
        <v>217</v>
      </c>
      <c r="AC56" s="249">
        <f>IF(C84&gt;=15,1,0)</f>
        <v>1</v>
      </c>
      <c r="AD56" s="249" t="s">
        <v>217</v>
      </c>
      <c r="AF56" s="231">
        <f t="shared" ref="AF56:AI79" si="50">N56</f>
        <v>0</v>
      </c>
      <c r="AG56" s="202">
        <f t="shared" si="50"/>
        <v>0</v>
      </c>
      <c r="AH56" s="202">
        <f t="shared" si="50"/>
        <v>0</v>
      </c>
      <c r="AI56" s="202" t="s">
        <v>217</v>
      </c>
      <c r="AJ56" s="202" t="str">
        <f t="shared" si="35"/>
        <v>-</v>
      </c>
      <c r="AK56" s="202">
        <f t="shared" si="36"/>
        <v>1</v>
      </c>
      <c r="AL56" s="202">
        <f t="shared" ref="AL56:AM79" si="51">AC56</f>
        <v>1</v>
      </c>
      <c r="AM56" s="232" t="str">
        <f t="shared" si="51"/>
        <v>-</v>
      </c>
      <c r="AN56" s="265">
        <f t="shared" si="38"/>
        <v>2</v>
      </c>
      <c r="AO56" s="362" t="str">
        <f>IF(AN56=5,E52,"")</f>
        <v/>
      </c>
      <c r="AP56" s="235">
        <f t="shared" si="39"/>
        <v>0</v>
      </c>
      <c r="BQ56" s="271">
        <f t="shared" si="49"/>
        <v>0</v>
      </c>
      <c r="BR56" s="259" t="str">
        <f>IF(BQ56=0,"",E52)</f>
        <v/>
      </c>
      <c r="BS56" s="291" t="str">
        <f t="shared" si="48"/>
        <v/>
      </c>
      <c r="BT56" s="230">
        <f t="shared" si="26"/>
        <v>0</v>
      </c>
      <c r="BU56" s="1286"/>
      <c r="BV56" s="1281"/>
      <c r="BW56" s="1282"/>
    </row>
    <row r="57" spans="1:75" ht="17.25" customHeight="1">
      <c r="A57" s="1241"/>
      <c r="B57" s="330"/>
      <c r="C57" s="282"/>
      <c r="D57" s="223"/>
      <c r="E57" s="1294"/>
      <c r="F57" s="339"/>
      <c r="G57" s="1300"/>
      <c r="H57" s="1301"/>
      <c r="I57" s="342"/>
      <c r="J57" s="247" t="s">
        <v>256</v>
      </c>
      <c r="K57" s="247" t="s">
        <v>217</v>
      </c>
      <c r="L57" s="247" t="s">
        <v>261</v>
      </c>
      <c r="M57" s="364" t="s">
        <v>302</v>
      </c>
      <c r="N57" s="202">
        <f>IF(C90&gt;50,1,0)</f>
        <v>0</v>
      </c>
      <c r="O57" s="249">
        <f>IF(C92&gt;=50,1,0)</f>
        <v>0</v>
      </c>
      <c r="P57" s="249">
        <f>IF(C94&lt;4,1,0)</f>
        <v>0</v>
      </c>
      <c r="Q57" s="202" t="s">
        <v>217</v>
      </c>
      <c r="R57" s="202" t="s">
        <v>217</v>
      </c>
      <c r="S57" s="202" t="s">
        <v>217</v>
      </c>
      <c r="T57" s="202" t="s">
        <v>217</v>
      </c>
      <c r="U57" s="231" t="s">
        <v>217</v>
      </c>
      <c r="V57" s="202" t="s">
        <v>217</v>
      </c>
      <c r="W57" s="202" t="s">
        <v>217</v>
      </c>
      <c r="X57" s="232" t="s">
        <v>217</v>
      </c>
      <c r="Y57" s="249">
        <f>IF(C85/C84&lt;1,1,0)</f>
        <v>0</v>
      </c>
      <c r="Z57" s="231" t="s">
        <v>217</v>
      </c>
      <c r="AA57" s="202" t="s">
        <v>217</v>
      </c>
      <c r="AB57" s="202" t="s">
        <v>217</v>
      </c>
      <c r="AC57" s="249" t="s">
        <v>217</v>
      </c>
      <c r="AD57" s="249">
        <f>IF(C85&lt;15,1,0)</f>
        <v>0</v>
      </c>
      <c r="AF57" s="231">
        <f t="shared" si="50"/>
        <v>0</v>
      </c>
      <c r="AG57" s="202">
        <f t="shared" si="50"/>
        <v>0</v>
      </c>
      <c r="AH57" s="202">
        <f t="shared" si="50"/>
        <v>0</v>
      </c>
      <c r="AI57" s="202" t="s">
        <v>217</v>
      </c>
      <c r="AJ57" s="202" t="str">
        <f t="shared" si="35"/>
        <v>-</v>
      </c>
      <c r="AK57" s="202">
        <f t="shared" si="36"/>
        <v>0</v>
      </c>
      <c r="AL57" s="202" t="str">
        <f t="shared" si="51"/>
        <v>-</v>
      </c>
      <c r="AM57" s="232">
        <f t="shared" si="51"/>
        <v>0</v>
      </c>
      <c r="AN57" s="265">
        <f t="shared" si="38"/>
        <v>0</v>
      </c>
      <c r="AO57" s="362" t="str">
        <f>IF(AN57=5,E52,"")</f>
        <v/>
      </c>
      <c r="AP57" s="235">
        <f t="shared" si="39"/>
        <v>0</v>
      </c>
      <c r="BQ57" s="271">
        <f t="shared" si="49"/>
        <v>0</v>
      </c>
      <c r="BR57" s="259" t="str">
        <f>IF(BQ57=0,"",E52)</f>
        <v/>
      </c>
      <c r="BS57" s="291" t="str">
        <f t="shared" si="48"/>
        <v/>
      </c>
      <c r="BT57" s="230">
        <f t="shared" si="26"/>
        <v>0</v>
      </c>
      <c r="BU57" s="1286"/>
      <c r="BV57" s="1281"/>
      <c r="BW57" s="1282"/>
    </row>
    <row r="58" spans="1:75" ht="17.25" customHeight="1">
      <c r="A58" s="1241"/>
      <c r="B58" s="330"/>
      <c r="C58" s="282"/>
      <c r="D58" s="223"/>
      <c r="E58" s="1246"/>
      <c r="F58" s="285"/>
      <c r="G58" s="1302"/>
      <c r="H58" s="1303"/>
      <c r="I58" s="342"/>
      <c r="J58" s="286" t="s">
        <v>256</v>
      </c>
      <c r="K58" s="286" t="s">
        <v>217</v>
      </c>
      <c r="L58" s="286" t="s">
        <v>263</v>
      </c>
      <c r="M58" s="364" t="s">
        <v>303</v>
      </c>
      <c r="N58" s="202">
        <f>IF(C90&gt;50,1,0)</f>
        <v>0</v>
      </c>
      <c r="O58" s="249">
        <f>IF(C92&gt;=50,1,0)</f>
        <v>0</v>
      </c>
      <c r="P58" s="251">
        <f>IF(C94&lt;4,1,0)</f>
        <v>0</v>
      </c>
      <c r="Q58" s="202" t="s">
        <v>217</v>
      </c>
      <c r="R58" s="202" t="s">
        <v>217</v>
      </c>
      <c r="S58" s="202" t="s">
        <v>217</v>
      </c>
      <c r="T58" s="202" t="s">
        <v>217</v>
      </c>
      <c r="U58" s="254" t="s">
        <v>217</v>
      </c>
      <c r="V58" s="250" t="s">
        <v>217</v>
      </c>
      <c r="W58" s="250" t="s">
        <v>217</v>
      </c>
      <c r="X58" s="255" t="s">
        <v>217</v>
      </c>
      <c r="Y58" s="249">
        <f>IF(C85/C84&lt;1,1,0)</f>
        <v>0</v>
      </c>
      <c r="Z58" s="254" t="s">
        <v>217</v>
      </c>
      <c r="AA58" s="250" t="s">
        <v>217</v>
      </c>
      <c r="AB58" s="250" t="s">
        <v>217</v>
      </c>
      <c r="AC58" s="251" t="s">
        <v>217</v>
      </c>
      <c r="AD58" s="251">
        <f>IF(C85&gt;=15,1,0)</f>
        <v>1</v>
      </c>
      <c r="AF58" s="254">
        <f t="shared" si="50"/>
        <v>0</v>
      </c>
      <c r="AG58" s="250">
        <f t="shared" si="50"/>
        <v>0</v>
      </c>
      <c r="AH58" s="250">
        <f t="shared" si="50"/>
        <v>0</v>
      </c>
      <c r="AI58" s="250" t="s">
        <v>217</v>
      </c>
      <c r="AJ58" s="250" t="str">
        <f t="shared" si="35"/>
        <v>-</v>
      </c>
      <c r="AK58" s="250">
        <f t="shared" si="36"/>
        <v>0</v>
      </c>
      <c r="AL58" s="250" t="str">
        <f t="shared" si="51"/>
        <v>-</v>
      </c>
      <c r="AM58" s="255">
        <f t="shared" si="51"/>
        <v>1</v>
      </c>
      <c r="AN58" s="290">
        <f t="shared" si="38"/>
        <v>1</v>
      </c>
      <c r="AO58" s="365" t="str">
        <f>IF(AN58=5,E52,"")</f>
        <v/>
      </c>
      <c r="AP58" s="235">
        <f t="shared" si="39"/>
        <v>0</v>
      </c>
      <c r="BQ58" s="258">
        <f t="shared" si="49"/>
        <v>0</v>
      </c>
      <c r="BR58" s="259" t="str">
        <f>IF(BQ58=0,"",E52)</f>
        <v/>
      </c>
      <c r="BS58" s="291" t="str">
        <f t="shared" si="48"/>
        <v/>
      </c>
      <c r="BT58" s="230">
        <f t="shared" si="26"/>
        <v>0</v>
      </c>
      <c r="BU58" s="1286"/>
      <c r="BV58" s="1281"/>
      <c r="BW58" s="1282"/>
    </row>
    <row r="59" spans="1:75" ht="17.25" customHeight="1">
      <c r="A59" s="1241"/>
      <c r="B59" s="330"/>
      <c r="C59" s="282"/>
      <c r="D59" s="223"/>
      <c r="E59" s="1255" t="s">
        <v>139</v>
      </c>
      <c r="F59" s="1256" t="s">
        <v>304</v>
      </c>
      <c r="G59" s="1298" t="s">
        <v>231</v>
      </c>
      <c r="H59" s="1299"/>
      <c r="I59" s="348" t="s">
        <v>252</v>
      </c>
      <c r="J59" s="335" t="s">
        <v>217</v>
      </c>
      <c r="K59" s="335" t="s">
        <v>217</v>
      </c>
      <c r="L59" s="335" t="s">
        <v>217</v>
      </c>
      <c r="M59" s="364" t="s">
        <v>305</v>
      </c>
      <c r="N59" s="202">
        <f>IF(C90&gt;50,1,0)</f>
        <v>0</v>
      </c>
      <c r="O59" s="249">
        <f>IF(C92&gt;=50,1,0)</f>
        <v>0</v>
      </c>
      <c r="P59" s="229">
        <f>IF(C94&gt;7,1,0)</f>
        <v>1</v>
      </c>
      <c r="Q59" s="202" t="s">
        <v>217</v>
      </c>
      <c r="R59" s="202" t="s">
        <v>217</v>
      </c>
      <c r="S59" s="202" t="s">
        <v>217</v>
      </c>
      <c r="T59" s="202" t="s">
        <v>217</v>
      </c>
      <c r="U59" s="236">
        <f>IF(C91&lt;15,1,0)</f>
        <v>0</v>
      </c>
      <c r="V59" s="228" t="s">
        <v>217</v>
      </c>
      <c r="W59" s="228" t="s">
        <v>217</v>
      </c>
      <c r="X59" s="237" t="s">
        <v>217</v>
      </c>
      <c r="Y59" s="229" t="s">
        <v>217</v>
      </c>
      <c r="Z59" s="236" t="s">
        <v>217</v>
      </c>
      <c r="AA59" s="228" t="s">
        <v>217</v>
      </c>
      <c r="AB59" s="228" t="s">
        <v>217</v>
      </c>
      <c r="AC59" s="229" t="s">
        <v>217</v>
      </c>
      <c r="AD59" s="229" t="s">
        <v>217</v>
      </c>
      <c r="AF59" s="231">
        <f t="shared" si="50"/>
        <v>0</v>
      </c>
      <c r="AG59" s="202">
        <f t="shared" si="50"/>
        <v>0</v>
      </c>
      <c r="AH59" s="202">
        <f t="shared" si="50"/>
        <v>1</v>
      </c>
      <c r="AI59" s="202" t="s">
        <v>217</v>
      </c>
      <c r="AJ59" s="202">
        <f t="shared" si="35"/>
        <v>0</v>
      </c>
      <c r="AK59" s="202" t="str">
        <f t="shared" si="36"/>
        <v>-</v>
      </c>
      <c r="AL59" s="202" t="str">
        <f t="shared" si="51"/>
        <v>-</v>
      </c>
      <c r="AM59" s="232" t="str">
        <f t="shared" si="51"/>
        <v>-</v>
      </c>
      <c r="AN59" s="265">
        <f t="shared" si="38"/>
        <v>1</v>
      </c>
      <c r="AO59" s="362" t="str">
        <f>IF(AN59=4,E59,"")</f>
        <v/>
      </c>
      <c r="AP59" s="235">
        <f t="shared" si="39"/>
        <v>0</v>
      </c>
      <c r="BQ59" s="244">
        <f t="shared" si="49"/>
        <v>0</v>
      </c>
      <c r="BR59" s="259" t="str">
        <f>IF(BQ59=0,"",E59)</f>
        <v/>
      </c>
      <c r="BS59" s="291" t="str">
        <f t="shared" si="48"/>
        <v/>
      </c>
      <c r="BT59" s="230">
        <f t="shared" si="26"/>
        <v>0</v>
      </c>
      <c r="BU59" s="1286">
        <f>SUM(BT59:BT65)</f>
        <v>0</v>
      </c>
      <c r="BV59" s="1281">
        <f>IF(BW59="",0,1)</f>
        <v>0</v>
      </c>
      <c r="BW59" s="1282" t="str">
        <f>IF(BU59=0,"",E59)</f>
        <v/>
      </c>
    </row>
    <row r="60" spans="1:75" ht="17.25" customHeight="1">
      <c r="A60" s="1241"/>
      <c r="B60" s="330"/>
      <c r="C60" s="282"/>
      <c r="D60" s="247"/>
      <c r="E60" s="1294"/>
      <c r="F60" s="1305"/>
      <c r="G60" s="1300"/>
      <c r="H60" s="1301"/>
      <c r="I60" s="349" t="s">
        <v>253</v>
      </c>
      <c r="J60" s="247" t="s">
        <v>254</v>
      </c>
      <c r="K60" s="247" t="s">
        <v>217</v>
      </c>
      <c r="L60" s="247" t="s">
        <v>217</v>
      </c>
      <c r="M60" s="364" t="s">
        <v>306</v>
      </c>
      <c r="N60" s="202">
        <f>IF(C90&gt;50,1,0)</f>
        <v>0</v>
      </c>
      <c r="O60" s="249">
        <f>IF(C92&gt;=50,1,0)</f>
        <v>0</v>
      </c>
      <c r="P60" s="249">
        <f>IF(C94&gt;7,1,0)</f>
        <v>1</v>
      </c>
      <c r="Q60" s="202" t="s">
        <v>217</v>
      </c>
      <c r="R60" s="202" t="s">
        <v>217</v>
      </c>
      <c r="S60" s="202" t="s">
        <v>217</v>
      </c>
      <c r="T60" s="202" t="s">
        <v>217</v>
      </c>
      <c r="U60" s="231">
        <f>IF(X60=2,1,0)</f>
        <v>0</v>
      </c>
      <c r="V60" s="202">
        <f>IF(C91&gt;=15,1,0)</f>
        <v>1</v>
      </c>
      <c r="W60" s="202">
        <f>IF(C91&lt;=29,1,0)</f>
        <v>0</v>
      </c>
      <c r="X60" s="232">
        <f>V60+W60</f>
        <v>1</v>
      </c>
      <c r="Y60" s="249">
        <f>IF((C85/C84)&gt;=1,1,0)</f>
        <v>1</v>
      </c>
      <c r="Z60" s="231" t="s">
        <v>217</v>
      </c>
      <c r="AA60" s="202" t="s">
        <v>217</v>
      </c>
      <c r="AB60" s="202" t="s">
        <v>217</v>
      </c>
      <c r="AC60" s="249" t="s">
        <v>217</v>
      </c>
      <c r="AD60" s="249" t="s">
        <v>217</v>
      </c>
      <c r="AF60" s="231">
        <f t="shared" si="50"/>
        <v>0</v>
      </c>
      <c r="AG60" s="202">
        <f t="shared" si="50"/>
        <v>0</v>
      </c>
      <c r="AH60" s="202">
        <f t="shared" si="50"/>
        <v>1</v>
      </c>
      <c r="AI60" s="202" t="s">
        <v>217</v>
      </c>
      <c r="AJ60" s="202">
        <f t="shared" si="35"/>
        <v>0</v>
      </c>
      <c r="AK60" s="202">
        <f t="shared" si="36"/>
        <v>1</v>
      </c>
      <c r="AL60" s="202" t="str">
        <f t="shared" si="51"/>
        <v>-</v>
      </c>
      <c r="AM60" s="232" t="str">
        <f t="shared" si="51"/>
        <v>-</v>
      </c>
      <c r="AN60" s="265">
        <f t="shared" si="38"/>
        <v>2</v>
      </c>
      <c r="AO60" s="362" t="str">
        <f>IF(AN60=5,E59,"")</f>
        <v/>
      </c>
      <c r="AP60" s="235">
        <f t="shared" si="39"/>
        <v>0</v>
      </c>
      <c r="BQ60" s="271">
        <f t="shared" si="49"/>
        <v>0</v>
      </c>
      <c r="BR60" s="259" t="str">
        <f>IF(BQ60=0,"",E59)</f>
        <v/>
      </c>
      <c r="BS60" s="291" t="str">
        <f t="shared" si="48"/>
        <v/>
      </c>
      <c r="BT60" s="230">
        <f t="shared" si="26"/>
        <v>0</v>
      </c>
      <c r="BU60" s="1286"/>
      <c r="BV60" s="1281"/>
      <c r="BW60" s="1282"/>
    </row>
    <row r="61" spans="1:75" ht="17.25" customHeight="1">
      <c r="A61" s="1241"/>
      <c r="B61" s="330"/>
      <c r="C61" s="282"/>
      <c r="D61" s="247"/>
      <c r="E61" s="1294"/>
      <c r="F61" s="1305"/>
      <c r="G61" s="1300"/>
      <c r="H61" s="1301"/>
      <c r="I61" s="351"/>
      <c r="J61" s="247" t="s">
        <v>256</v>
      </c>
      <c r="K61" s="247" t="s">
        <v>217</v>
      </c>
      <c r="L61" s="247" t="s">
        <v>217</v>
      </c>
      <c r="M61" s="364" t="s">
        <v>307</v>
      </c>
      <c r="N61" s="202">
        <f>IF(C90&gt;50,1,0)</f>
        <v>0</v>
      </c>
      <c r="O61" s="249">
        <f>IF(C92&gt;=50,1,0)</f>
        <v>0</v>
      </c>
      <c r="P61" s="249">
        <f>IF(C94&gt;7,1,0)</f>
        <v>1</v>
      </c>
      <c r="Q61" s="202" t="s">
        <v>217</v>
      </c>
      <c r="R61" s="202" t="s">
        <v>217</v>
      </c>
      <c r="S61" s="202" t="s">
        <v>217</v>
      </c>
      <c r="T61" s="202" t="s">
        <v>217</v>
      </c>
      <c r="U61" s="231" t="s">
        <v>217</v>
      </c>
      <c r="V61" s="202" t="s">
        <v>217</v>
      </c>
      <c r="W61" s="202" t="s">
        <v>217</v>
      </c>
      <c r="X61" s="232" t="s">
        <v>217</v>
      </c>
      <c r="Y61" s="249">
        <f>IF(C85/C84&lt;1,1,0)</f>
        <v>0</v>
      </c>
      <c r="Z61" s="231" t="s">
        <v>217</v>
      </c>
      <c r="AA61" s="202" t="s">
        <v>217</v>
      </c>
      <c r="AB61" s="202" t="s">
        <v>217</v>
      </c>
      <c r="AC61" s="249" t="s">
        <v>217</v>
      </c>
      <c r="AD61" s="249" t="s">
        <v>217</v>
      </c>
      <c r="AF61" s="231">
        <f t="shared" si="50"/>
        <v>0</v>
      </c>
      <c r="AG61" s="202">
        <f t="shared" si="50"/>
        <v>0</v>
      </c>
      <c r="AH61" s="202">
        <f t="shared" si="50"/>
        <v>1</v>
      </c>
      <c r="AI61" s="202" t="s">
        <v>217</v>
      </c>
      <c r="AJ61" s="202" t="str">
        <f t="shared" si="35"/>
        <v>-</v>
      </c>
      <c r="AK61" s="202">
        <f t="shared" si="36"/>
        <v>0</v>
      </c>
      <c r="AL61" s="202" t="str">
        <f t="shared" si="51"/>
        <v>-</v>
      </c>
      <c r="AM61" s="232" t="str">
        <f t="shared" si="51"/>
        <v>-</v>
      </c>
      <c r="AN61" s="265">
        <f t="shared" si="38"/>
        <v>1</v>
      </c>
      <c r="AO61" s="362" t="str">
        <f>IF(AN61=4,E59,"")</f>
        <v/>
      </c>
      <c r="AP61" s="235">
        <f t="shared" si="39"/>
        <v>0</v>
      </c>
      <c r="BQ61" s="271">
        <f t="shared" si="49"/>
        <v>0</v>
      </c>
      <c r="BR61" s="259" t="str">
        <f>IF(BQ61=0,"",E59)</f>
        <v/>
      </c>
      <c r="BS61" s="291" t="str">
        <f t="shared" si="48"/>
        <v/>
      </c>
      <c r="BT61" s="230">
        <f t="shared" si="26"/>
        <v>0</v>
      </c>
      <c r="BU61" s="1286"/>
      <c r="BV61" s="1281"/>
      <c r="BW61" s="1282"/>
    </row>
    <row r="62" spans="1:75" ht="17.25" customHeight="1">
      <c r="A62" s="1241"/>
      <c r="B62" s="330"/>
      <c r="C62" s="282"/>
      <c r="D62" s="247"/>
      <c r="E62" s="1294"/>
      <c r="F62" s="1305"/>
      <c r="G62" s="1300"/>
      <c r="H62" s="1301"/>
      <c r="I62" s="349" t="s">
        <v>257</v>
      </c>
      <c r="J62" s="247" t="s">
        <v>254</v>
      </c>
      <c r="K62" s="247" t="s">
        <v>258</v>
      </c>
      <c r="L62" s="247" t="s">
        <v>217</v>
      </c>
      <c r="M62" s="364" t="s">
        <v>308</v>
      </c>
      <c r="N62" s="202">
        <f>IF(C90&gt;50,1,0)</f>
        <v>0</v>
      </c>
      <c r="O62" s="249">
        <f>IF(C92&gt;=50,1,0)</f>
        <v>0</v>
      </c>
      <c r="P62" s="249">
        <f>IF(C94&gt;7,1,0)</f>
        <v>1</v>
      </c>
      <c r="Q62" s="202" t="s">
        <v>217</v>
      </c>
      <c r="R62" s="202" t="s">
        <v>217</v>
      </c>
      <c r="S62" s="202" t="s">
        <v>217</v>
      </c>
      <c r="T62" s="202" t="s">
        <v>217</v>
      </c>
      <c r="U62" s="231">
        <f>IF(C91&gt;=30,1,0)</f>
        <v>1</v>
      </c>
      <c r="V62" s="202" t="s">
        <v>217</v>
      </c>
      <c r="W62" s="202" t="s">
        <v>217</v>
      </c>
      <c r="X62" s="232" t="s">
        <v>217</v>
      </c>
      <c r="Y62" s="249">
        <f>IF((C85/C84)&gt;=1,1,0)</f>
        <v>1</v>
      </c>
      <c r="Z62" s="231" t="s">
        <v>217</v>
      </c>
      <c r="AA62" s="202" t="s">
        <v>217</v>
      </c>
      <c r="AB62" s="202" t="s">
        <v>217</v>
      </c>
      <c r="AC62" s="249">
        <f>IF(C84&lt;15,1,0)</f>
        <v>0</v>
      </c>
      <c r="AD62" s="249" t="s">
        <v>217</v>
      </c>
      <c r="AF62" s="231">
        <f t="shared" si="50"/>
        <v>0</v>
      </c>
      <c r="AG62" s="202">
        <f t="shared" si="50"/>
        <v>0</v>
      </c>
      <c r="AH62" s="202">
        <f t="shared" si="50"/>
        <v>1</v>
      </c>
      <c r="AI62" s="202" t="s">
        <v>217</v>
      </c>
      <c r="AJ62" s="202">
        <f t="shared" si="35"/>
        <v>1</v>
      </c>
      <c r="AK62" s="202">
        <f t="shared" si="36"/>
        <v>1</v>
      </c>
      <c r="AL62" s="202">
        <f t="shared" si="51"/>
        <v>0</v>
      </c>
      <c r="AM62" s="232" t="str">
        <f t="shared" si="51"/>
        <v>-</v>
      </c>
      <c r="AN62" s="265">
        <f t="shared" si="38"/>
        <v>3</v>
      </c>
      <c r="AO62" s="362" t="str">
        <f>IF(AN62=6,E59,"")</f>
        <v/>
      </c>
      <c r="AP62" s="235">
        <f t="shared" si="39"/>
        <v>0</v>
      </c>
      <c r="BQ62" s="271">
        <f t="shared" si="49"/>
        <v>0</v>
      </c>
      <c r="BR62" s="259" t="str">
        <f>IF(BQ62=0,"",E59)</f>
        <v/>
      </c>
      <c r="BS62" s="291" t="str">
        <f t="shared" si="48"/>
        <v/>
      </c>
      <c r="BT62" s="230">
        <f t="shared" si="26"/>
        <v>0</v>
      </c>
      <c r="BU62" s="1286"/>
      <c r="BV62" s="1281"/>
      <c r="BW62" s="1282"/>
    </row>
    <row r="63" spans="1:75" ht="17.25" customHeight="1">
      <c r="A63" s="1241"/>
      <c r="B63" s="330"/>
      <c r="C63" s="282"/>
      <c r="D63" s="247"/>
      <c r="E63" s="1294"/>
      <c r="F63" s="1305"/>
      <c r="G63" s="1300"/>
      <c r="H63" s="1301"/>
      <c r="I63" s="351"/>
      <c r="J63" s="247" t="s">
        <v>254</v>
      </c>
      <c r="K63" s="247" t="s">
        <v>260</v>
      </c>
      <c r="L63" s="247" t="s">
        <v>217</v>
      </c>
      <c r="M63" s="364" t="s">
        <v>309</v>
      </c>
      <c r="N63" s="202">
        <f>IF(C90&gt;50,1,0)</f>
        <v>0</v>
      </c>
      <c r="O63" s="249">
        <f>IF(C92&gt;=50,1,0)</f>
        <v>0</v>
      </c>
      <c r="P63" s="249">
        <f>IF(C94&gt;7,1,0)</f>
        <v>1</v>
      </c>
      <c r="Q63" s="202" t="s">
        <v>217</v>
      </c>
      <c r="R63" s="202" t="s">
        <v>217</v>
      </c>
      <c r="S63" s="202" t="s">
        <v>217</v>
      </c>
      <c r="T63" s="202" t="s">
        <v>217</v>
      </c>
      <c r="U63" s="231" t="s">
        <v>217</v>
      </c>
      <c r="V63" s="202" t="s">
        <v>217</v>
      </c>
      <c r="W63" s="202" t="s">
        <v>217</v>
      </c>
      <c r="X63" s="232" t="s">
        <v>217</v>
      </c>
      <c r="Y63" s="249">
        <f>IF((C85/C84)&gt;=1,1,0)</f>
        <v>1</v>
      </c>
      <c r="Z63" s="231" t="s">
        <v>217</v>
      </c>
      <c r="AA63" s="202" t="s">
        <v>217</v>
      </c>
      <c r="AB63" s="202" t="s">
        <v>217</v>
      </c>
      <c r="AC63" s="249">
        <f>IF(C84&gt;=15,1,0)</f>
        <v>1</v>
      </c>
      <c r="AD63" s="249" t="s">
        <v>217</v>
      </c>
      <c r="AF63" s="231">
        <f t="shared" si="50"/>
        <v>0</v>
      </c>
      <c r="AG63" s="202">
        <f t="shared" si="50"/>
        <v>0</v>
      </c>
      <c r="AH63" s="202">
        <f t="shared" si="50"/>
        <v>1</v>
      </c>
      <c r="AI63" s="202" t="s">
        <v>217</v>
      </c>
      <c r="AJ63" s="202" t="str">
        <f t="shared" si="35"/>
        <v>-</v>
      </c>
      <c r="AK63" s="202">
        <f t="shared" si="36"/>
        <v>1</v>
      </c>
      <c r="AL63" s="202">
        <f t="shared" si="51"/>
        <v>1</v>
      </c>
      <c r="AM63" s="232" t="str">
        <f t="shared" si="51"/>
        <v>-</v>
      </c>
      <c r="AN63" s="265">
        <f t="shared" si="38"/>
        <v>3</v>
      </c>
      <c r="AO63" s="362" t="str">
        <f>IF(AN63=5,E59,"")</f>
        <v/>
      </c>
      <c r="AP63" s="235">
        <f t="shared" si="39"/>
        <v>0</v>
      </c>
      <c r="BQ63" s="271">
        <f t="shared" si="49"/>
        <v>0</v>
      </c>
      <c r="BR63" s="259" t="str">
        <f>IF(BQ63=0,"",E59)</f>
        <v/>
      </c>
      <c r="BS63" s="291" t="str">
        <f t="shared" si="48"/>
        <v/>
      </c>
      <c r="BT63" s="230">
        <f t="shared" si="26"/>
        <v>0</v>
      </c>
      <c r="BU63" s="1286"/>
      <c r="BV63" s="1281"/>
      <c r="BW63" s="1282"/>
    </row>
    <row r="64" spans="1:75" ht="17.25" customHeight="1">
      <c r="A64" s="1241"/>
      <c r="B64" s="330"/>
      <c r="C64" s="282"/>
      <c r="D64" s="262"/>
      <c r="E64" s="1294"/>
      <c r="F64" s="1305"/>
      <c r="G64" s="1300"/>
      <c r="H64" s="1301"/>
      <c r="I64" s="351"/>
      <c r="J64" s="247" t="s">
        <v>256</v>
      </c>
      <c r="K64" s="247" t="s">
        <v>217</v>
      </c>
      <c r="L64" s="247" t="s">
        <v>261</v>
      </c>
      <c r="M64" s="364" t="s">
        <v>310</v>
      </c>
      <c r="N64" s="202">
        <f>IF(C90&gt;50,1,0)</f>
        <v>0</v>
      </c>
      <c r="O64" s="249">
        <f>IF(C92&gt;=50,1,0)</f>
        <v>0</v>
      </c>
      <c r="P64" s="249">
        <f>IF(C94&gt;7,1,0)</f>
        <v>1</v>
      </c>
      <c r="Q64" s="202" t="s">
        <v>217</v>
      </c>
      <c r="R64" s="202" t="s">
        <v>217</v>
      </c>
      <c r="S64" s="202" t="s">
        <v>217</v>
      </c>
      <c r="T64" s="202" t="s">
        <v>217</v>
      </c>
      <c r="U64" s="231" t="s">
        <v>217</v>
      </c>
      <c r="V64" s="202" t="s">
        <v>217</v>
      </c>
      <c r="W64" s="202" t="s">
        <v>217</v>
      </c>
      <c r="X64" s="232" t="s">
        <v>217</v>
      </c>
      <c r="Y64" s="249">
        <f>IF(C85/C84&lt;1,1,0)</f>
        <v>0</v>
      </c>
      <c r="Z64" s="231" t="s">
        <v>217</v>
      </c>
      <c r="AA64" s="202" t="s">
        <v>217</v>
      </c>
      <c r="AB64" s="202" t="s">
        <v>217</v>
      </c>
      <c r="AC64" s="249" t="s">
        <v>217</v>
      </c>
      <c r="AD64" s="249">
        <f>IF(C85&lt;15,1,0)</f>
        <v>0</v>
      </c>
      <c r="AF64" s="231">
        <f t="shared" si="50"/>
        <v>0</v>
      </c>
      <c r="AG64" s="202">
        <f t="shared" si="50"/>
        <v>0</v>
      </c>
      <c r="AH64" s="202">
        <f t="shared" si="50"/>
        <v>1</v>
      </c>
      <c r="AI64" s="202" t="s">
        <v>217</v>
      </c>
      <c r="AJ64" s="202" t="str">
        <f t="shared" si="35"/>
        <v>-</v>
      </c>
      <c r="AK64" s="202">
        <f t="shared" si="36"/>
        <v>0</v>
      </c>
      <c r="AL64" s="202" t="str">
        <f t="shared" si="51"/>
        <v>-</v>
      </c>
      <c r="AM64" s="232">
        <f t="shared" si="51"/>
        <v>0</v>
      </c>
      <c r="AN64" s="265">
        <f t="shared" si="38"/>
        <v>1</v>
      </c>
      <c r="AO64" s="362" t="str">
        <f>IF(AN64=5,E59,"")</f>
        <v/>
      </c>
      <c r="AP64" s="235">
        <f t="shared" si="39"/>
        <v>0</v>
      </c>
      <c r="BQ64" s="271">
        <f t="shared" si="49"/>
        <v>0</v>
      </c>
      <c r="BR64" s="259" t="str">
        <f>IF(BQ64=0,"",E59)</f>
        <v/>
      </c>
      <c r="BS64" s="291" t="str">
        <f t="shared" si="48"/>
        <v/>
      </c>
      <c r="BT64" s="230">
        <f t="shared" si="26"/>
        <v>0</v>
      </c>
      <c r="BU64" s="1286"/>
      <c r="BV64" s="1281"/>
      <c r="BW64" s="1282"/>
    </row>
    <row r="65" spans="1:75" ht="17.25" customHeight="1">
      <c r="A65" s="1241"/>
      <c r="B65" s="330"/>
      <c r="C65" s="282"/>
      <c r="D65" s="262" t="s">
        <v>273</v>
      </c>
      <c r="E65" s="1246"/>
      <c r="F65" s="1248"/>
      <c r="G65" s="1302"/>
      <c r="H65" s="1303"/>
      <c r="I65" s="360"/>
      <c r="J65" s="286" t="s">
        <v>256</v>
      </c>
      <c r="K65" s="286" t="s">
        <v>217</v>
      </c>
      <c r="L65" s="286" t="s">
        <v>263</v>
      </c>
      <c r="M65" s="364" t="s">
        <v>311</v>
      </c>
      <c r="N65" s="202">
        <f>IF(C90&gt;50,1,0)</f>
        <v>0</v>
      </c>
      <c r="O65" s="249">
        <f>IF(C92&gt;=50,1,0)</f>
        <v>0</v>
      </c>
      <c r="P65" s="249">
        <f>IF(C94&gt;7,1,0)</f>
        <v>1</v>
      </c>
      <c r="Q65" s="202" t="s">
        <v>217</v>
      </c>
      <c r="R65" s="202" t="s">
        <v>217</v>
      </c>
      <c r="S65" s="202" t="s">
        <v>217</v>
      </c>
      <c r="T65" s="202" t="s">
        <v>217</v>
      </c>
      <c r="U65" s="254" t="s">
        <v>217</v>
      </c>
      <c r="V65" s="250" t="s">
        <v>217</v>
      </c>
      <c r="W65" s="250" t="s">
        <v>217</v>
      </c>
      <c r="X65" s="255" t="s">
        <v>217</v>
      </c>
      <c r="Y65" s="251">
        <f>IF(C85/C84&lt;1,1,0)</f>
        <v>0</v>
      </c>
      <c r="Z65" s="254" t="s">
        <v>217</v>
      </c>
      <c r="AA65" s="250" t="s">
        <v>217</v>
      </c>
      <c r="AB65" s="250" t="s">
        <v>217</v>
      </c>
      <c r="AC65" s="251" t="s">
        <v>217</v>
      </c>
      <c r="AD65" s="251">
        <f>IF(C85&gt;=15,1,0)</f>
        <v>1</v>
      </c>
      <c r="AF65" s="231">
        <f t="shared" si="50"/>
        <v>0</v>
      </c>
      <c r="AG65" s="202">
        <f t="shared" si="50"/>
        <v>0</v>
      </c>
      <c r="AH65" s="202">
        <f t="shared" si="50"/>
        <v>1</v>
      </c>
      <c r="AI65" s="202" t="s">
        <v>217</v>
      </c>
      <c r="AJ65" s="202" t="str">
        <f t="shared" si="35"/>
        <v>-</v>
      </c>
      <c r="AK65" s="202">
        <f t="shared" si="36"/>
        <v>0</v>
      </c>
      <c r="AL65" s="202" t="str">
        <f t="shared" si="51"/>
        <v>-</v>
      </c>
      <c r="AM65" s="232">
        <f t="shared" si="51"/>
        <v>1</v>
      </c>
      <c r="AN65" s="290">
        <f t="shared" si="38"/>
        <v>2</v>
      </c>
      <c r="AO65" s="362" t="str">
        <f>IF(AN65=5,E59,"")</f>
        <v/>
      </c>
      <c r="AP65" s="235">
        <f t="shared" si="39"/>
        <v>0</v>
      </c>
      <c r="BQ65" s="258">
        <f t="shared" si="49"/>
        <v>0</v>
      </c>
      <c r="BR65" s="259" t="str">
        <f>IF(BQ65=0,"",E59)</f>
        <v/>
      </c>
      <c r="BS65" s="291" t="str">
        <f t="shared" si="48"/>
        <v/>
      </c>
      <c r="BT65" s="230">
        <f t="shared" si="26"/>
        <v>0</v>
      </c>
      <c r="BU65" s="1286"/>
      <c r="BV65" s="1281"/>
      <c r="BW65" s="1282"/>
    </row>
    <row r="66" spans="1:75" ht="17.25" customHeight="1">
      <c r="A66" s="1241"/>
      <c r="B66" s="330"/>
      <c r="C66" s="282"/>
      <c r="D66" s="262"/>
      <c r="E66" s="1255" t="s">
        <v>141</v>
      </c>
      <c r="F66" s="1256" t="s">
        <v>312</v>
      </c>
      <c r="G66" s="366"/>
      <c r="H66" s="1295" t="s">
        <v>276</v>
      </c>
      <c r="I66" s="348" t="s">
        <v>252</v>
      </c>
      <c r="J66" s="335" t="s">
        <v>217</v>
      </c>
      <c r="K66" s="335" t="s">
        <v>217</v>
      </c>
      <c r="L66" s="335" t="s">
        <v>217</v>
      </c>
      <c r="M66" s="248" t="s">
        <v>277</v>
      </c>
      <c r="N66" s="202">
        <f>IF(C90&gt;50,1,0)</f>
        <v>0</v>
      </c>
      <c r="O66" s="249">
        <f>IF(C92&gt;=50,1,0)</f>
        <v>0</v>
      </c>
      <c r="P66" s="236">
        <f>IF((C93/C92)&lt;0.75,1,0)</f>
        <v>0</v>
      </c>
      <c r="Q66" s="229">
        <f>IF(C94&gt;=4,1,0)</f>
        <v>1</v>
      </c>
      <c r="R66" s="202" t="s">
        <v>217</v>
      </c>
      <c r="S66" s="202" t="s">
        <v>217</v>
      </c>
      <c r="T66" s="202" t="s">
        <v>217</v>
      </c>
      <c r="U66" s="236">
        <f>IF(C91&lt;15,1,0)</f>
        <v>0</v>
      </c>
      <c r="V66" s="228" t="s">
        <v>217</v>
      </c>
      <c r="W66" s="228" t="s">
        <v>217</v>
      </c>
      <c r="X66" s="237" t="s">
        <v>217</v>
      </c>
      <c r="Y66" s="249" t="s">
        <v>217</v>
      </c>
      <c r="Z66" s="236" t="s">
        <v>217</v>
      </c>
      <c r="AA66" s="228" t="s">
        <v>217</v>
      </c>
      <c r="AB66" s="228" t="s">
        <v>217</v>
      </c>
      <c r="AC66" s="229" t="s">
        <v>217</v>
      </c>
      <c r="AD66" s="229" t="s">
        <v>217</v>
      </c>
      <c r="AF66" s="236">
        <f t="shared" si="50"/>
        <v>0</v>
      </c>
      <c r="AG66" s="228">
        <f t="shared" si="50"/>
        <v>0</v>
      </c>
      <c r="AH66" s="228">
        <f t="shared" si="50"/>
        <v>0</v>
      </c>
      <c r="AI66" s="228">
        <f t="shared" si="50"/>
        <v>1</v>
      </c>
      <c r="AJ66" s="228">
        <f t="shared" si="35"/>
        <v>0</v>
      </c>
      <c r="AK66" s="228" t="str">
        <f t="shared" si="36"/>
        <v>-</v>
      </c>
      <c r="AL66" s="228" t="str">
        <f t="shared" si="51"/>
        <v>-</v>
      </c>
      <c r="AM66" s="237" t="str">
        <f t="shared" si="51"/>
        <v>-</v>
      </c>
      <c r="AN66" s="242">
        <f t="shared" si="38"/>
        <v>1</v>
      </c>
      <c r="AO66" s="361" t="str">
        <f>IF(AN66=5,E66,"")</f>
        <v/>
      </c>
      <c r="AP66" s="235">
        <f t="shared" si="39"/>
        <v>0</v>
      </c>
      <c r="BQ66" s="244">
        <f t="shared" si="49"/>
        <v>0</v>
      </c>
      <c r="BR66" s="259" t="str">
        <f>IF(BQ66=0,"",E66)</f>
        <v/>
      </c>
      <c r="BS66" s="291" t="str">
        <f t="shared" si="48"/>
        <v/>
      </c>
      <c r="BT66" s="230">
        <f t="shared" si="26"/>
        <v>0</v>
      </c>
      <c r="BU66" s="1286">
        <f>SUM(BT66:BT79)</f>
        <v>0</v>
      </c>
      <c r="BV66" s="1281">
        <f>IF(BW66="",0,1)</f>
        <v>0</v>
      </c>
      <c r="BW66" s="1282" t="str">
        <f>IF(BU66=0,"",E66)</f>
        <v/>
      </c>
    </row>
    <row r="67" spans="1:75" ht="16.5" customHeight="1">
      <c r="A67" s="1241"/>
      <c r="B67" s="330"/>
      <c r="C67" s="282"/>
      <c r="D67" s="262" t="s">
        <v>313</v>
      </c>
      <c r="E67" s="1294"/>
      <c r="F67" s="1305"/>
      <c r="G67" s="357"/>
      <c r="H67" s="1296"/>
      <c r="I67" s="349" t="s">
        <v>253</v>
      </c>
      <c r="J67" s="247" t="s">
        <v>254</v>
      </c>
      <c r="K67" s="247" t="s">
        <v>217</v>
      </c>
      <c r="L67" s="247" t="s">
        <v>217</v>
      </c>
      <c r="M67" s="248" t="s">
        <v>279</v>
      </c>
      <c r="N67" s="202">
        <f>IF(C90&gt;50,1,0)</f>
        <v>0</v>
      </c>
      <c r="O67" s="249">
        <f>IF(C92&gt;=50,1,0)</f>
        <v>0</v>
      </c>
      <c r="P67" s="231">
        <f>IF((C93/C92)&lt;0.75,1,0)</f>
        <v>0</v>
      </c>
      <c r="Q67" s="249">
        <f>IF(C94&gt;=4,1,0)</f>
        <v>1</v>
      </c>
      <c r="R67" s="202" t="s">
        <v>217</v>
      </c>
      <c r="S67" s="202" t="s">
        <v>217</v>
      </c>
      <c r="T67" s="202" t="s">
        <v>217</v>
      </c>
      <c r="U67" s="231">
        <f>IF(X67=2,1,0)</f>
        <v>0</v>
      </c>
      <c r="V67" s="202">
        <f>IF(C91&gt;=15,1,0)</f>
        <v>1</v>
      </c>
      <c r="W67" s="202">
        <f>IF(C91&lt;=29,1,0)</f>
        <v>0</v>
      </c>
      <c r="X67" s="232">
        <f>V67+W67</f>
        <v>1</v>
      </c>
      <c r="Y67" s="249">
        <f>IF((C85/C84)&gt;=1,1,0)</f>
        <v>1</v>
      </c>
      <c r="Z67" s="231" t="s">
        <v>217</v>
      </c>
      <c r="AA67" s="202" t="s">
        <v>217</v>
      </c>
      <c r="AB67" s="202" t="s">
        <v>217</v>
      </c>
      <c r="AC67" s="249" t="s">
        <v>217</v>
      </c>
      <c r="AD67" s="249" t="s">
        <v>217</v>
      </c>
      <c r="AF67" s="231">
        <f t="shared" si="50"/>
        <v>0</v>
      </c>
      <c r="AG67" s="202">
        <f t="shared" si="50"/>
        <v>0</v>
      </c>
      <c r="AH67" s="202">
        <f t="shared" si="50"/>
        <v>0</v>
      </c>
      <c r="AI67" s="202">
        <f t="shared" si="50"/>
        <v>1</v>
      </c>
      <c r="AJ67" s="202">
        <f t="shared" si="35"/>
        <v>0</v>
      </c>
      <c r="AK67" s="202">
        <f t="shared" si="36"/>
        <v>1</v>
      </c>
      <c r="AL67" s="202" t="str">
        <f t="shared" si="51"/>
        <v>-</v>
      </c>
      <c r="AM67" s="232" t="str">
        <f t="shared" si="51"/>
        <v>-</v>
      </c>
      <c r="AN67" s="240">
        <f t="shared" si="38"/>
        <v>2</v>
      </c>
      <c r="AO67" s="362" t="str">
        <f>IF(AN67=6,E66,"")</f>
        <v/>
      </c>
      <c r="AP67" s="235">
        <f t="shared" si="39"/>
        <v>0</v>
      </c>
      <c r="BQ67" s="271">
        <f t="shared" si="49"/>
        <v>0</v>
      </c>
      <c r="BR67" s="259" t="str">
        <f>IF(BQ67=0,"",E66)</f>
        <v/>
      </c>
      <c r="BS67" s="291" t="str">
        <f t="shared" si="48"/>
        <v/>
      </c>
      <c r="BT67" s="230">
        <f t="shared" si="26"/>
        <v>0</v>
      </c>
      <c r="BU67" s="1286"/>
      <c r="BV67" s="1281"/>
      <c r="BW67" s="1282"/>
    </row>
    <row r="68" spans="1:75" ht="16.5" customHeight="1">
      <c r="A68" s="1241"/>
      <c r="B68" s="330"/>
      <c r="C68" s="282"/>
      <c r="D68" s="262"/>
      <c r="E68" s="1294"/>
      <c r="F68" s="1305"/>
      <c r="G68" s="357"/>
      <c r="H68" s="1296"/>
      <c r="I68" s="351"/>
      <c r="J68" s="247" t="s">
        <v>256</v>
      </c>
      <c r="K68" s="247" t="s">
        <v>217</v>
      </c>
      <c r="L68" s="247" t="s">
        <v>217</v>
      </c>
      <c r="M68" s="248" t="s">
        <v>280</v>
      </c>
      <c r="N68" s="202">
        <f>IF(C90&gt;50,1,0)</f>
        <v>0</v>
      </c>
      <c r="O68" s="249">
        <f>IF(C92&gt;=50,1,0)</f>
        <v>0</v>
      </c>
      <c r="P68" s="231">
        <f>IF((C93/C92)&lt;0.75,1,0)</f>
        <v>0</v>
      </c>
      <c r="Q68" s="249">
        <f>IF(C94&gt;=4,1,0)</f>
        <v>1</v>
      </c>
      <c r="R68" s="202" t="s">
        <v>217</v>
      </c>
      <c r="S68" s="202" t="s">
        <v>217</v>
      </c>
      <c r="T68" s="202" t="s">
        <v>217</v>
      </c>
      <c r="U68" s="231" t="s">
        <v>217</v>
      </c>
      <c r="V68" s="202" t="s">
        <v>217</v>
      </c>
      <c r="W68" s="202" t="s">
        <v>217</v>
      </c>
      <c r="X68" s="232" t="s">
        <v>217</v>
      </c>
      <c r="Y68" s="249">
        <f>IF(C85/C84&lt;1,1,0)</f>
        <v>0</v>
      </c>
      <c r="Z68" s="231" t="s">
        <v>217</v>
      </c>
      <c r="AA68" s="202" t="s">
        <v>217</v>
      </c>
      <c r="AB68" s="202" t="s">
        <v>217</v>
      </c>
      <c r="AC68" s="249" t="s">
        <v>217</v>
      </c>
      <c r="AD68" s="249" t="s">
        <v>217</v>
      </c>
      <c r="AF68" s="231">
        <f t="shared" si="50"/>
        <v>0</v>
      </c>
      <c r="AG68" s="202">
        <f t="shared" si="50"/>
        <v>0</v>
      </c>
      <c r="AH68" s="202">
        <f t="shared" si="50"/>
        <v>0</v>
      </c>
      <c r="AI68" s="202">
        <f t="shared" si="50"/>
        <v>1</v>
      </c>
      <c r="AJ68" s="202" t="str">
        <f t="shared" si="35"/>
        <v>-</v>
      </c>
      <c r="AK68" s="202">
        <f t="shared" si="36"/>
        <v>0</v>
      </c>
      <c r="AL68" s="202" t="str">
        <f t="shared" si="51"/>
        <v>-</v>
      </c>
      <c r="AM68" s="232" t="str">
        <f t="shared" si="51"/>
        <v>-</v>
      </c>
      <c r="AN68" s="240">
        <f t="shared" si="38"/>
        <v>1</v>
      </c>
      <c r="AO68" s="362" t="str">
        <f>IF(AN68=5,E66,"")</f>
        <v/>
      </c>
      <c r="AP68" s="235">
        <f t="shared" si="39"/>
        <v>0</v>
      </c>
      <c r="BQ68" s="271">
        <f t="shared" si="49"/>
        <v>0</v>
      </c>
      <c r="BR68" s="259" t="str">
        <f>IF(BQ68=0,"",E66)</f>
        <v/>
      </c>
      <c r="BS68" s="291" t="str">
        <f t="shared" si="48"/>
        <v/>
      </c>
      <c r="BT68" s="230">
        <f t="shared" si="26"/>
        <v>0</v>
      </c>
      <c r="BU68" s="1286"/>
      <c r="BV68" s="1281"/>
      <c r="BW68" s="1282"/>
    </row>
    <row r="69" spans="1:75" ht="16.5" customHeight="1">
      <c r="A69" s="1241"/>
      <c r="B69" s="330"/>
      <c r="C69" s="282"/>
      <c r="D69" s="247"/>
      <c r="E69" s="1294"/>
      <c r="F69" s="1305"/>
      <c r="G69" s="357"/>
      <c r="H69" s="1296"/>
      <c r="I69" s="349" t="s">
        <v>257</v>
      </c>
      <c r="J69" s="247" t="s">
        <v>254</v>
      </c>
      <c r="K69" s="247" t="s">
        <v>258</v>
      </c>
      <c r="L69" s="247" t="s">
        <v>217</v>
      </c>
      <c r="M69" s="248" t="s">
        <v>281</v>
      </c>
      <c r="N69" s="202">
        <f>IF(C90&gt;50,1,0)</f>
        <v>0</v>
      </c>
      <c r="O69" s="249">
        <f>IF(C92&gt;=50,1,0)</f>
        <v>0</v>
      </c>
      <c r="P69" s="231">
        <f>IF((C93/C92)&lt;0.75,1,0)</f>
        <v>0</v>
      </c>
      <c r="Q69" s="249">
        <f>IF(C94&gt;=4,1,0)</f>
        <v>1</v>
      </c>
      <c r="R69" s="202" t="s">
        <v>217</v>
      </c>
      <c r="S69" s="202" t="s">
        <v>217</v>
      </c>
      <c r="T69" s="202" t="s">
        <v>217</v>
      </c>
      <c r="U69" s="231">
        <f>IF(C91&gt;=30,1,0)</f>
        <v>1</v>
      </c>
      <c r="V69" s="202" t="s">
        <v>217</v>
      </c>
      <c r="W69" s="202" t="s">
        <v>217</v>
      </c>
      <c r="X69" s="232" t="s">
        <v>217</v>
      </c>
      <c r="Y69" s="249">
        <f>IF((C85/C84)&gt;=1,1,0)</f>
        <v>1</v>
      </c>
      <c r="Z69" s="231" t="s">
        <v>217</v>
      </c>
      <c r="AA69" s="202" t="s">
        <v>217</v>
      </c>
      <c r="AB69" s="202" t="s">
        <v>217</v>
      </c>
      <c r="AC69" s="249">
        <f>IF(C84&lt;15,1,0)</f>
        <v>0</v>
      </c>
      <c r="AD69" s="249" t="s">
        <v>217</v>
      </c>
      <c r="AF69" s="231">
        <f t="shared" si="50"/>
        <v>0</v>
      </c>
      <c r="AG69" s="202">
        <f t="shared" si="50"/>
        <v>0</v>
      </c>
      <c r="AH69" s="202">
        <f t="shared" si="50"/>
        <v>0</v>
      </c>
      <c r="AI69" s="202">
        <f t="shared" si="50"/>
        <v>1</v>
      </c>
      <c r="AJ69" s="202">
        <f t="shared" si="35"/>
        <v>1</v>
      </c>
      <c r="AK69" s="202">
        <f t="shared" si="36"/>
        <v>1</v>
      </c>
      <c r="AL69" s="202">
        <f t="shared" si="51"/>
        <v>0</v>
      </c>
      <c r="AM69" s="232" t="str">
        <f t="shared" si="51"/>
        <v>-</v>
      </c>
      <c r="AN69" s="240">
        <f t="shared" si="38"/>
        <v>3</v>
      </c>
      <c r="AO69" s="362" t="str">
        <f>IF(AN69=7,E66,"")</f>
        <v/>
      </c>
      <c r="AP69" s="235">
        <f t="shared" si="39"/>
        <v>0</v>
      </c>
      <c r="BQ69" s="271">
        <f t="shared" si="49"/>
        <v>0</v>
      </c>
      <c r="BR69" s="259" t="str">
        <f>IF(BQ69=0,"",E66)</f>
        <v/>
      </c>
      <c r="BS69" s="291" t="str">
        <f t="shared" si="48"/>
        <v/>
      </c>
      <c r="BT69" s="230">
        <f t="shared" ref="BT69:BT80" si="52">IF(BR69="",0,1)</f>
        <v>0</v>
      </c>
      <c r="BU69" s="1286"/>
      <c r="BV69" s="1281"/>
      <c r="BW69" s="1282"/>
    </row>
    <row r="70" spans="1:75" ht="16.5" customHeight="1">
      <c r="A70" s="1241"/>
      <c r="B70" s="330"/>
      <c r="C70" s="282"/>
      <c r="D70" s="247"/>
      <c r="E70" s="1294"/>
      <c r="F70" s="1305"/>
      <c r="G70" s="357"/>
      <c r="H70" s="1296"/>
      <c r="I70" s="351"/>
      <c r="J70" s="247" t="s">
        <v>254</v>
      </c>
      <c r="K70" s="247" t="s">
        <v>260</v>
      </c>
      <c r="L70" s="247" t="s">
        <v>217</v>
      </c>
      <c r="M70" s="248" t="s">
        <v>282</v>
      </c>
      <c r="N70" s="202">
        <f>IF(C90&gt;50,1,0)</f>
        <v>0</v>
      </c>
      <c r="O70" s="249">
        <f>IF(C92&gt;=50,1,0)</f>
        <v>0</v>
      </c>
      <c r="P70" s="231">
        <f>IF((C93/C92)&lt;0.75,1,0)</f>
        <v>0</v>
      </c>
      <c r="Q70" s="249">
        <f>IF(C94&gt;=4,1,0)</f>
        <v>1</v>
      </c>
      <c r="R70" s="202" t="s">
        <v>217</v>
      </c>
      <c r="S70" s="202" t="s">
        <v>217</v>
      </c>
      <c r="T70" s="202" t="s">
        <v>217</v>
      </c>
      <c r="U70" s="231" t="s">
        <v>217</v>
      </c>
      <c r="V70" s="202" t="s">
        <v>217</v>
      </c>
      <c r="W70" s="202" t="s">
        <v>217</v>
      </c>
      <c r="X70" s="232" t="s">
        <v>217</v>
      </c>
      <c r="Y70" s="249">
        <f>IF((C85/C84)&gt;=1,1,0)</f>
        <v>1</v>
      </c>
      <c r="Z70" s="231" t="s">
        <v>217</v>
      </c>
      <c r="AA70" s="202" t="s">
        <v>217</v>
      </c>
      <c r="AB70" s="202" t="s">
        <v>217</v>
      </c>
      <c r="AC70" s="249">
        <f>IF(C84&gt;=15,1,0)</f>
        <v>1</v>
      </c>
      <c r="AD70" s="249" t="s">
        <v>217</v>
      </c>
      <c r="AF70" s="231">
        <f t="shared" si="50"/>
        <v>0</v>
      </c>
      <c r="AG70" s="202">
        <f t="shared" si="50"/>
        <v>0</v>
      </c>
      <c r="AH70" s="202">
        <f t="shared" si="50"/>
        <v>0</v>
      </c>
      <c r="AI70" s="202">
        <f t="shared" si="50"/>
        <v>1</v>
      </c>
      <c r="AJ70" s="202" t="str">
        <f t="shared" si="35"/>
        <v>-</v>
      </c>
      <c r="AK70" s="202">
        <f t="shared" si="36"/>
        <v>1</v>
      </c>
      <c r="AL70" s="202">
        <f t="shared" si="51"/>
        <v>1</v>
      </c>
      <c r="AM70" s="232" t="str">
        <f t="shared" si="51"/>
        <v>-</v>
      </c>
      <c r="AN70" s="240">
        <f t="shared" si="38"/>
        <v>3</v>
      </c>
      <c r="AO70" s="362" t="str">
        <f>IF(AN70=6,E66,"")</f>
        <v/>
      </c>
      <c r="AP70" s="235">
        <f t="shared" si="39"/>
        <v>0</v>
      </c>
      <c r="BQ70" s="271">
        <f t="shared" si="49"/>
        <v>0</v>
      </c>
      <c r="BR70" s="259" t="str">
        <f>IF(BQ70=0,"",E66)</f>
        <v/>
      </c>
      <c r="BS70" s="291" t="str">
        <f t="shared" si="48"/>
        <v/>
      </c>
      <c r="BT70" s="230">
        <f t="shared" si="52"/>
        <v>0</v>
      </c>
      <c r="BU70" s="1286"/>
      <c r="BV70" s="1281"/>
      <c r="BW70" s="1282"/>
    </row>
    <row r="71" spans="1:75" ht="16.5" customHeight="1">
      <c r="A71" s="1241"/>
      <c r="B71" s="330"/>
      <c r="C71" s="282"/>
      <c r="D71" s="247"/>
      <c r="E71" s="1294"/>
      <c r="F71" s="1305"/>
      <c r="G71" s="357"/>
      <c r="H71" s="1296"/>
      <c r="I71" s="351"/>
      <c r="J71" s="247" t="s">
        <v>256</v>
      </c>
      <c r="K71" s="247" t="s">
        <v>217</v>
      </c>
      <c r="L71" s="247" t="s">
        <v>261</v>
      </c>
      <c r="M71" s="248" t="s">
        <v>283</v>
      </c>
      <c r="N71" s="202">
        <f>IF(C90&gt;50,1,0)</f>
        <v>0</v>
      </c>
      <c r="O71" s="249">
        <f>IF(C92&gt;=50,1,0)</f>
        <v>0</v>
      </c>
      <c r="P71" s="231">
        <f>IF((C93/C92)&lt;0.75,1,0)</f>
        <v>0</v>
      </c>
      <c r="Q71" s="249">
        <f>IF(C94&gt;=4,1,0)</f>
        <v>1</v>
      </c>
      <c r="R71" s="202" t="s">
        <v>217</v>
      </c>
      <c r="S71" s="202" t="s">
        <v>217</v>
      </c>
      <c r="T71" s="202" t="s">
        <v>217</v>
      </c>
      <c r="U71" s="231" t="s">
        <v>217</v>
      </c>
      <c r="V71" s="202" t="s">
        <v>217</v>
      </c>
      <c r="W71" s="202" t="s">
        <v>217</v>
      </c>
      <c r="X71" s="232" t="s">
        <v>217</v>
      </c>
      <c r="Y71" s="249">
        <f>IF(C85/C84&lt;1,1,0)</f>
        <v>0</v>
      </c>
      <c r="Z71" s="231" t="s">
        <v>217</v>
      </c>
      <c r="AA71" s="202" t="s">
        <v>217</v>
      </c>
      <c r="AB71" s="202" t="s">
        <v>217</v>
      </c>
      <c r="AC71" s="249" t="s">
        <v>217</v>
      </c>
      <c r="AD71" s="249">
        <f>IF(C85&lt;15,1,0)</f>
        <v>0</v>
      </c>
      <c r="AF71" s="231">
        <f t="shared" si="50"/>
        <v>0</v>
      </c>
      <c r="AG71" s="202">
        <f t="shared" si="50"/>
        <v>0</v>
      </c>
      <c r="AH71" s="202">
        <f t="shared" si="50"/>
        <v>0</v>
      </c>
      <c r="AI71" s="202">
        <f t="shared" si="50"/>
        <v>1</v>
      </c>
      <c r="AJ71" s="202" t="str">
        <f t="shared" si="35"/>
        <v>-</v>
      </c>
      <c r="AK71" s="202">
        <f t="shared" si="36"/>
        <v>0</v>
      </c>
      <c r="AL71" s="202" t="str">
        <f t="shared" si="51"/>
        <v>-</v>
      </c>
      <c r="AM71" s="232">
        <f t="shared" si="51"/>
        <v>0</v>
      </c>
      <c r="AN71" s="240">
        <f t="shared" si="38"/>
        <v>1</v>
      </c>
      <c r="AO71" s="362" t="str">
        <f>IF(AN71=6,E66,"")</f>
        <v/>
      </c>
      <c r="AP71" s="235">
        <f t="shared" si="39"/>
        <v>0</v>
      </c>
      <c r="BQ71" s="271">
        <f t="shared" si="49"/>
        <v>0</v>
      </c>
      <c r="BR71" s="259" t="str">
        <f>IF(BQ71=0,"",E66)</f>
        <v/>
      </c>
      <c r="BS71" s="291" t="str">
        <f t="shared" si="48"/>
        <v/>
      </c>
      <c r="BT71" s="230">
        <f t="shared" si="52"/>
        <v>0</v>
      </c>
      <c r="BU71" s="1286"/>
      <c r="BV71" s="1281"/>
      <c r="BW71" s="1282"/>
    </row>
    <row r="72" spans="1:75" ht="16.5" customHeight="1">
      <c r="A72" s="1241"/>
      <c r="B72" s="330"/>
      <c r="C72" s="282"/>
      <c r="D72" s="247"/>
      <c r="E72" s="1294"/>
      <c r="F72" s="1305"/>
      <c r="G72" s="358" t="s">
        <v>284</v>
      </c>
      <c r="H72" s="1297"/>
      <c r="I72" s="360"/>
      <c r="J72" s="286" t="s">
        <v>256</v>
      </c>
      <c r="K72" s="286" t="s">
        <v>217</v>
      </c>
      <c r="L72" s="286" t="s">
        <v>263</v>
      </c>
      <c r="M72" s="248" t="s">
        <v>285</v>
      </c>
      <c r="N72" s="202">
        <f>IF(C90&gt;50,1,0)</f>
        <v>0</v>
      </c>
      <c r="O72" s="249">
        <f>IF(C92&gt;=50,1,0)</f>
        <v>0</v>
      </c>
      <c r="P72" s="231">
        <f>IF((C93/C92)&lt;0.75,1,0)</f>
        <v>0</v>
      </c>
      <c r="Q72" s="249">
        <f>IF(C94&gt;=4,1,0)</f>
        <v>1</v>
      </c>
      <c r="R72" s="202" t="s">
        <v>217</v>
      </c>
      <c r="S72" s="202" t="s">
        <v>217</v>
      </c>
      <c r="T72" s="202" t="s">
        <v>217</v>
      </c>
      <c r="U72" s="254" t="s">
        <v>217</v>
      </c>
      <c r="V72" s="250" t="s">
        <v>217</v>
      </c>
      <c r="W72" s="250" t="s">
        <v>217</v>
      </c>
      <c r="X72" s="255" t="s">
        <v>217</v>
      </c>
      <c r="Y72" s="251">
        <f>IF(C85/C84&lt;1,1,0)</f>
        <v>0</v>
      </c>
      <c r="Z72" s="254" t="s">
        <v>217</v>
      </c>
      <c r="AA72" s="250" t="s">
        <v>217</v>
      </c>
      <c r="AB72" s="250" t="s">
        <v>217</v>
      </c>
      <c r="AC72" s="251" t="s">
        <v>217</v>
      </c>
      <c r="AD72" s="251">
        <f>IF(C85&gt;=15,1,0)</f>
        <v>1</v>
      </c>
      <c r="AF72" s="231">
        <f t="shared" si="50"/>
        <v>0</v>
      </c>
      <c r="AG72" s="202">
        <f t="shared" si="50"/>
        <v>0</v>
      </c>
      <c r="AH72" s="202">
        <f t="shared" si="50"/>
        <v>0</v>
      </c>
      <c r="AI72" s="202">
        <f t="shared" si="50"/>
        <v>1</v>
      </c>
      <c r="AJ72" s="202" t="str">
        <f t="shared" si="35"/>
        <v>-</v>
      </c>
      <c r="AK72" s="202">
        <f t="shared" si="36"/>
        <v>0</v>
      </c>
      <c r="AL72" s="202" t="str">
        <f t="shared" si="51"/>
        <v>-</v>
      </c>
      <c r="AM72" s="232">
        <f t="shared" si="51"/>
        <v>1</v>
      </c>
      <c r="AN72" s="240">
        <f t="shared" si="38"/>
        <v>2</v>
      </c>
      <c r="AO72" s="362" t="str">
        <f>IF(AN72=6,E66,"")</f>
        <v/>
      </c>
      <c r="AP72" s="235">
        <f t="shared" si="39"/>
        <v>0</v>
      </c>
      <c r="BQ72" s="271">
        <f t="shared" si="49"/>
        <v>0</v>
      </c>
      <c r="BR72" s="259" t="str">
        <f>IF(BQ72=0,"",E66)</f>
        <v/>
      </c>
      <c r="BS72" s="291" t="str">
        <f t="shared" si="48"/>
        <v/>
      </c>
      <c r="BT72" s="230">
        <f t="shared" si="52"/>
        <v>0</v>
      </c>
      <c r="BU72" s="1286"/>
      <c r="BV72" s="1281"/>
      <c r="BW72" s="1282"/>
    </row>
    <row r="73" spans="1:75" ht="16.5" customHeight="1">
      <c r="A73" s="1241"/>
      <c r="B73" s="330"/>
      <c r="C73" s="282"/>
      <c r="D73" s="247"/>
      <c r="E73" s="1294"/>
      <c r="F73" s="1305"/>
      <c r="G73" s="357" t="s">
        <v>286</v>
      </c>
      <c r="H73" s="1295" t="s">
        <v>225</v>
      </c>
      <c r="I73" s="348" t="s">
        <v>252</v>
      </c>
      <c r="J73" s="335" t="s">
        <v>217</v>
      </c>
      <c r="K73" s="226" t="s">
        <v>217</v>
      </c>
      <c r="L73" s="335" t="s">
        <v>217</v>
      </c>
      <c r="M73" s="248" t="s">
        <v>287</v>
      </c>
      <c r="N73" s="202">
        <f>IF(C90&gt;50,1,0)</f>
        <v>0</v>
      </c>
      <c r="O73" s="249">
        <f>IF(C92&gt;=50,1,0)</f>
        <v>0</v>
      </c>
      <c r="P73" s="231">
        <f>IF((C93/C92)&lt;0.75,1,0)</f>
        <v>0</v>
      </c>
      <c r="Q73" s="229">
        <f>IF(C94&lt;4,1,0)</f>
        <v>0</v>
      </c>
      <c r="R73" s="202" t="s">
        <v>217</v>
      </c>
      <c r="S73" s="202" t="s">
        <v>217</v>
      </c>
      <c r="T73" s="202" t="s">
        <v>217</v>
      </c>
      <c r="U73" s="236">
        <f>IF(C91&lt;15,1,0)</f>
        <v>0</v>
      </c>
      <c r="V73" s="228" t="s">
        <v>217</v>
      </c>
      <c r="W73" s="228" t="s">
        <v>217</v>
      </c>
      <c r="X73" s="237" t="s">
        <v>217</v>
      </c>
      <c r="Y73" s="229" t="s">
        <v>217</v>
      </c>
      <c r="Z73" s="236" t="s">
        <v>217</v>
      </c>
      <c r="AA73" s="228" t="s">
        <v>217</v>
      </c>
      <c r="AB73" s="228" t="s">
        <v>217</v>
      </c>
      <c r="AC73" s="229" t="s">
        <v>217</v>
      </c>
      <c r="AD73" s="229" t="s">
        <v>217</v>
      </c>
      <c r="AF73" s="231">
        <f t="shared" si="50"/>
        <v>0</v>
      </c>
      <c r="AG73" s="202">
        <f t="shared" si="50"/>
        <v>0</v>
      </c>
      <c r="AH73" s="202">
        <f t="shared" si="50"/>
        <v>0</v>
      </c>
      <c r="AI73" s="202">
        <f t="shared" si="50"/>
        <v>0</v>
      </c>
      <c r="AJ73" s="202">
        <f t="shared" si="35"/>
        <v>0</v>
      </c>
      <c r="AK73" s="202" t="str">
        <f t="shared" si="36"/>
        <v>-</v>
      </c>
      <c r="AL73" s="202" t="str">
        <f t="shared" si="51"/>
        <v>-</v>
      </c>
      <c r="AM73" s="232" t="str">
        <f t="shared" si="51"/>
        <v>-</v>
      </c>
      <c r="AN73" s="240">
        <f t="shared" si="38"/>
        <v>0</v>
      </c>
      <c r="AO73" s="362" t="str">
        <f>IF(AN73=5,E66,"")</f>
        <v/>
      </c>
      <c r="AP73" s="235">
        <f t="shared" si="39"/>
        <v>0</v>
      </c>
      <c r="BQ73" s="271">
        <f t="shared" si="49"/>
        <v>0</v>
      </c>
      <c r="BR73" s="259" t="str">
        <f>IF(BQ73=0,"",E66)</f>
        <v/>
      </c>
      <c r="BS73" s="291" t="str">
        <f t="shared" si="48"/>
        <v/>
      </c>
      <c r="BT73" s="230">
        <f t="shared" si="52"/>
        <v>0</v>
      </c>
      <c r="BU73" s="1286"/>
      <c r="BV73" s="1281"/>
      <c r="BW73" s="1282"/>
    </row>
    <row r="74" spans="1:75" ht="16.5" customHeight="1">
      <c r="A74" s="1241"/>
      <c r="B74" s="330"/>
      <c r="C74" s="282"/>
      <c r="D74" s="247"/>
      <c r="E74" s="1294"/>
      <c r="F74" s="1305"/>
      <c r="G74" s="357"/>
      <c r="H74" s="1296"/>
      <c r="I74" s="349" t="s">
        <v>253</v>
      </c>
      <c r="J74" s="247" t="s">
        <v>254</v>
      </c>
      <c r="K74" s="226" t="s">
        <v>217</v>
      </c>
      <c r="L74" s="247" t="s">
        <v>217</v>
      </c>
      <c r="M74" s="248" t="s">
        <v>288</v>
      </c>
      <c r="N74" s="202">
        <f>IF(C90&gt;50,1,0)</f>
        <v>0</v>
      </c>
      <c r="O74" s="249">
        <f>IF(C92&gt;=50,1,0)</f>
        <v>0</v>
      </c>
      <c r="P74" s="231">
        <f>IF((C93/C92)&lt;0.75,1,0)</f>
        <v>0</v>
      </c>
      <c r="Q74" s="249">
        <f>IF(C94&lt;4,1,0)</f>
        <v>0</v>
      </c>
      <c r="R74" s="202" t="s">
        <v>217</v>
      </c>
      <c r="S74" s="202" t="s">
        <v>217</v>
      </c>
      <c r="T74" s="202" t="s">
        <v>217</v>
      </c>
      <c r="U74" s="231">
        <f>IF(X74=2,1,0)</f>
        <v>0</v>
      </c>
      <c r="V74" s="202">
        <f>IF(C91&gt;=15,1,0)</f>
        <v>1</v>
      </c>
      <c r="W74" s="202">
        <f>IF(C91&lt;=29,1,0)</f>
        <v>0</v>
      </c>
      <c r="X74" s="232">
        <f>V74+W74</f>
        <v>1</v>
      </c>
      <c r="Y74" s="249">
        <f>IF((C85/C84)&gt;=1,1,0)</f>
        <v>1</v>
      </c>
      <c r="Z74" s="231" t="s">
        <v>217</v>
      </c>
      <c r="AA74" s="202" t="s">
        <v>217</v>
      </c>
      <c r="AB74" s="202" t="s">
        <v>217</v>
      </c>
      <c r="AC74" s="249" t="s">
        <v>217</v>
      </c>
      <c r="AD74" s="249" t="s">
        <v>217</v>
      </c>
      <c r="AF74" s="231">
        <f t="shared" si="50"/>
        <v>0</v>
      </c>
      <c r="AG74" s="202">
        <f t="shared" si="50"/>
        <v>0</v>
      </c>
      <c r="AH74" s="202">
        <f t="shared" si="50"/>
        <v>0</v>
      </c>
      <c r="AI74" s="202">
        <f t="shared" si="50"/>
        <v>0</v>
      </c>
      <c r="AJ74" s="202">
        <f t="shared" si="35"/>
        <v>0</v>
      </c>
      <c r="AK74" s="202">
        <f t="shared" si="36"/>
        <v>1</v>
      </c>
      <c r="AL74" s="202" t="str">
        <f t="shared" si="51"/>
        <v>-</v>
      </c>
      <c r="AM74" s="232" t="str">
        <f t="shared" si="51"/>
        <v>-</v>
      </c>
      <c r="AN74" s="240">
        <f t="shared" si="38"/>
        <v>1</v>
      </c>
      <c r="AO74" s="362" t="str">
        <f>IF(AN74=6,E66,"")</f>
        <v/>
      </c>
      <c r="AP74" s="235">
        <f t="shared" si="39"/>
        <v>0</v>
      </c>
      <c r="BQ74" s="271">
        <f t="shared" si="49"/>
        <v>0</v>
      </c>
      <c r="BR74" s="259" t="str">
        <f>IF(BQ74=0,"",E66)</f>
        <v/>
      </c>
      <c r="BS74" s="291" t="str">
        <f t="shared" si="48"/>
        <v/>
      </c>
      <c r="BT74" s="230">
        <f t="shared" si="52"/>
        <v>0</v>
      </c>
      <c r="BU74" s="1286"/>
      <c r="BV74" s="1281"/>
      <c r="BW74" s="1282"/>
    </row>
    <row r="75" spans="1:75" ht="16.5" customHeight="1">
      <c r="A75" s="1241"/>
      <c r="B75" s="330"/>
      <c r="C75" s="282"/>
      <c r="D75" s="247"/>
      <c r="E75" s="1294"/>
      <c r="F75" s="1305"/>
      <c r="G75" s="357"/>
      <c r="H75" s="1296"/>
      <c r="I75" s="351"/>
      <c r="J75" s="247" t="s">
        <v>256</v>
      </c>
      <c r="K75" s="226" t="s">
        <v>217</v>
      </c>
      <c r="L75" s="247" t="s">
        <v>217</v>
      </c>
      <c r="M75" s="248" t="s">
        <v>289</v>
      </c>
      <c r="N75" s="202">
        <f>IF(C90&gt;50,1,0)</f>
        <v>0</v>
      </c>
      <c r="O75" s="249">
        <f>IF(C92&gt;=50,1,0)</f>
        <v>0</v>
      </c>
      <c r="P75" s="231">
        <f>IF((C93/C92)&lt;0.75,1,0)</f>
        <v>0</v>
      </c>
      <c r="Q75" s="249">
        <f>IF(C94&lt;4,1,0)</f>
        <v>0</v>
      </c>
      <c r="R75" s="202" t="s">
        <v>217</v>
      </c>
      <c r="S75" s="202" t="s">
        <v>217</v>
      </c>
      <c r="T75" s="202" t="s">
        <v>217</v>
      </c>
      <c r="U75" s="231" t="s">
        <v>217</v>
      </c>
      <c r="V75" s="202" t="s">
        <v>217</v>
      </c>
      <c r="W75" s="202" t="s">
        <v>217</v>
      </c>
      <c r="X75" s="232" t="s">
        <v>217</v>
      </c>
      <c r="Y75" s="249">
        <f>IF(C85/C84&lt;1,1,0)</f>
        <v>0</v>
      </c>
      <c r="Z75" s="231" t="s">
        <v>217</v>
      </c>
      <c r="AA75" s="202" t="s">
        <v>217</v>
      </c>
      <c r="AB75" s="202" t="s">
        <v>217</v>
      </c>
      <c r="AC75" s="249" t="s">
        <v>217</v>
      </c>
      <c r="AD75" s="249" t="s">
        <v>217</v>
      </c>
      <c r="AF75" s="231">
        <f t="shared" si="50"/>
        <v>0</v>
      </c>
      <c r="AG75" s="202">
        <f t="shared" si="50"/>
        <v>0</v>
      </c>
      <c r="AH75" s="202">
        <f t="shared" si="50"/>
        <v>0</v>
      </c>
      <c r="AI75" s="202">
        <f t="shared" si="50"/>
        <v>0</v>
      </c>
      <c r="AJ75" s="202" t="str">
        <f t="shared" si="35"/>
        <v>-</v>
      </c>
      <c r="AK75" s="202">
        <f t="shared" si="36"/>
        <v>0</v>
      </c>
      <c r="AL75" s="202" t="str">
        <f t="shared" si="51"/>
        <v>-</v>
      </c>
      <c r="AM75" s="232" t="str">
        <f t="shared" si="51"/>
        <v>-</v>
      </c>
      <c r="AN75" s="240">
        <f t="shared" si="38"/>
        <v>0</v>
      </c>
      <c r="AO75" s="362" t="str">
        <f>IF(AN75=5,E66,"")</f>
        <v/>
      </c>
      <c r="AP75" s="235">
        <f t="shared" si="39"/>
        <v>0</v>
      </c>
      <c r="BQ75" s="271">
        <f t="shared" si="49"/>
        <v>0</v>
      </c>
      <c r="BR75" s="259" t="str">
        <f>IF(BQ75=0,"",E66)</f>
        <v/>
      </c>
      <c r="BS75" s="291" t="str">
        <f t="shared" si="48"/>
        <v/>
      </c>
      <c r="BT75" s="230">
        <f t="shared" si="52"/>
        <v>0</v>
      </c>
      <c r="BU75" s="1286"/>
      <c r="BV75" s="1281"/>
      <c r="BW75" s="1282"/>
    </row>
    <row r="76" spans="1:75" ht="16.5" customHeight="1">
      <c r="A76" s="1241"/>
      <c r="B76" s="330"/>
      <c r="C76" s="282"/>
      <c r="D76" s="247"/>
      <c r="E76" s="1294"/>
      <c r="F76" s="1305"/>
      <c r="G76" s="357"/>
      <c r="H76" s="1296"/>
      <c r="I76" s="349" t="s">
        <v>257</v>
      </c>
      <c r="J76" s="247" t="s">
        <v>254</v>
      </c>
      <c r="K76" s="226" t="s">
        <v>258</v>
      </c>
      <c r="L76" s="247" t="s">
        <v>217</v>
      </c>
      <c r="M76" s="248" t="s">
        <v>290</v>
      </c>
      <c r="N76" s="202">
        <f>IF(C90&gt;50,1,0)</f>
        <v>0</v>
      </c>
      <c r="O76" s="249">
        <f>IF(C92&gt;=50,1,0)</f>
        <v>0</v>
      </c>
      <c r="P76" s="231">
        <f>IF((C93/C92)&lt;0.75,1,0)</f>
        <v>0</v>
      </c>
      <c r="Q76" s="249">
        <f>IF(C94&lt;4,1,0)</f>
        <v>0</v>
      </c>
      <c r="R76" s="202" t="s">
        <v>217</v>
      </c>
      <c r="S76" s="202" t="s">
        <v>217</v>
      </c>
      <c r="T76" s="202" t="s">
        <v>217</v>
      </c>
      <c r="U76" s="231">
        <f>IF(C91&gt;=30,1,0)</f>
        <v>1</v>
      </c>
      <c r="V76" s="202" t="s">
        <v>217</v>
      </c>
      <c r="W76" s="202" t="s">
        <v>217</v>
      </c>
      <c r="X76" s="232" t="s">
        <v>217</v>
      </c>
      <c r="Y76" s="249">
        <f>IF((C85/C84)&gt;=1,1,0)</f>
        <v>1</v>
      </c>
      <c r="Z76" s="231" t="s">
        <v>217</v>
      </c>
      <c r="AA76" s="202" t="s">
        <v>217</v>
      </c>
      <c r="AB76" s="202" t="s">
        <v>217</v>
      </c>
      <c r="AC76" s="249">
        <f>IF(C84&lt;15,1,0)</f>
        <v>0</v>
      </c>
      <c r="AD76" s="249" t="s">
        <v>217</v>
      </c>
      <c r="AF76" s="231">
        <f t="shared" si="50"/>
        <v>0</v>
      </c>
      <c r="AG76" s="202">
        <f t="shared" si="50"/>
        <v>0</v>
      </c>
      <c r="AH76" s="202">
        <f t="shared" si="50"/>
        <v>0</v>
      </c>
      <c r="AI76" s="202">
        <f t="shared" si="50"/>
        <v>0</v>
      </c>
      <c r="AJ76" s="202">
        <f t="shared" si="35"/>
        <v>1</v>
      </c>
      <c r="AK76" s="202">
        <f t="shared" si="36"/>
        <v>1</v>
      </c>
      <c r="AL76" s="202">
        <f t="shared" si="51"/>
        <v>0</v>
      </c>
      <c r="AM76" s="232" t="str">
        <f t="shared" si="51"/>
        <v>-</v>
      </c>
      <c r="AN76" s="240">
        <f t="shared" si="38"/>
        <v>2</v>
      </c>
      <c r="AO76" s="362" t="str">
        <f>IF(AN76=7,E66,"")</f>
        <v/>
      </c>
      <c r="AP76" s="235">
        <f t="shared" si="39"/>
        <v>0</v>
      </c>
      <c r="BQ76" s="271">
        <f t="shared" si="49"/>
        <v>0</v>
      </c>
      <c r="BR76" s="259" t="str">
        <f>IF(BQ76=0,"",E66)</f>
        <v/>
      </c>
      <c r="BS76" s="291" t="str">
        <f t="shared" si="48"/>
        <v/>
      </c>
      <c r="BT76" s="230">
        <f t="shared" si="52"/>
        <v>0</v>
      </c>
      <c r="BU76" s="1286"/>
      <c r="BV76" s="1281"/>
      <c r="BW76" s="1282"/>
    </row>
    <row r="77" spans="1:75" ht="16.5" customHeight="1">
      <c r="A77" s="1241"/>
      <c r="B77" s="330"/>
      <c r="C77" s="282"/>
      <c r="D77" s="247"/>
      <c r="E77" s="1294"/>
      <c r="F77" s="1305"/>
      <c r="G77" s="357"/>
      <c r="H77" s="1296"/>
      <c r="I77" s="351"/>
      <c r="J77" s="247" t="s">
        <v>254</v>
      </c>
      <c r="K77" s="226" t="s">
        <v>260</v>
      </c>
      <c r="L77" s="247" t="s">
        <v>217</v>
      </c>
      <c r="M77" s="248" t="s">
        <v>291</v>
      </c>
      <c r="N77" s="202">
        <f>IF(C90&gt;50,1,0)</f>
        <v>0</v>
      </c>
      <c r="O77" s="249">
        <f>IF(C92&gt;=50,1,0)</f>
        <v>0</v>
      </c>
      <c r="P77" s="231">
        <f>IF((C93/C92)&lt;0.75,1,0)</f>
        <v>0</v>
      </c>
      <c r="Q77" s="249">
        <f>IF(C94&lt;4,1,0)</f>
        <v>0</v>
      </c>
      <c r="R77" s="202" t="s">
        <v>217</v>
      </c>
      <c r="S77" s="202" t="s">
        <v>217</v>
      </c>
      <c r="T77" s="202" t="s">
        <v>217</v>
      </c>
      <c r="U77" s="231" t="s">
        <v>217</v>
      </c>
      <c r="V77" s="202" t="s">
        <v>217</v>
      </c>
      <c r="W77" s="202" t="s">
        <v>217</v>
      </c>
      <c r="X77" s="232" t="s">
        <v>217</v>
      </c>
      <c r="Y77" s="249">
        <f>IF((C85/C84)&gt;=1,1,0)</f>
        <v>1</v>
      </c>
      <c r="Z77" s="231" t="s">
        <v>217</v>
      </c>
      <c r="AA77" s="202" t="s">
        <v>217</v>
      </c>
      <c r="AB77" s="202" t="s">
        <v>217</v>
      </c>
      <c r="AC77" s="249">
        <f>IF(C84&gt;=15,1,0)</f>
        <v>1</v>
      </c>
      <c r="AD77" s="249" t="s">
        <v>217</v>
      </c>
      <c r="AF77" s="231">
        <f t="shared" si="50"/>
        <v>0</v>
      </c>
      <c r="AG77" s="202">
        <f t="shared" si="50"/>
        <v>0</v>
      </c>
      <c r="AH77" s="202">
        <f t="shared" si="50"/>
        <v>0</v>
      </c>
      <c r="AI77" s="202">
        <f t="shared" si="50"/>
        <v>0</v>
      </c>
      <c r="AJ77" s="202" t="str">
        <f t="shared" si="35"/>
        <v>-</v>
      </c>
      <c r="AK77" s="202">
        <f t="shared" si="36"/>
        <v>1</v>
      </c>
      <c r="AL77" s="202">
        <f t="shared" si="51"/>
        <v>1</v>
      </c>
      <c r="AM77" s="232" t="str">
        <f t="shared" si="51"/>
        <v>-</v>
      </c>
      <c r="AN77" s="240">
        <f t="shared" si="38"/>
        <v>2</v>
      </c>
      <c r="AO77" s="362" t="str">
        <f>IF(AN77=6,E66,"")</f>
        <v/>
      </c>
      <c r="AP77" s="235">
        <f t="shared" si="39"/>
        <v>0</v>
      </c>
      <c r="BQ77" s="271">
        <f t="shared" si="49"/>
        <v>0</v>
      </c>
      <c r="BR77" s="259" t="str">
        <f>IF(BQ77=0,"",E66)</f>
        <v/>
      </c>
      <c r="BS77" s="291" t="str">
        <f t="shared" si="48"/>
        <v/>
      </c>
      <c r="BT77" s="230">
        <f t="shared" si="52"/>
        <v>0</v>
      </c>
      <c r="BU77" s="1286"/>
      <c r="BV77" s="1281"/>
      <c r="BW77" s="1282"/>
    </row>
    <row r="78" spans="1:75" ht="16.5" customHeight="1">
      <c r="A78" s="1241"/>
      <c r="B78" s="330"/>
      <c r="C78" s="282"/>
      <c r="D78" s="247"/>
      <c r="E78" s="1294"/>
      <c r="F78" s="1305"/>
      <c r="G78" s="357"/>
      <c r="H78" s="1296"/>
      <c r="I78" s="351"/>
      <c r="J78" s="247" t="s">
        <v>256</v>
      </c>
      <c r="K78" s="226" t="s">
        <v>217</v>
      </c>
      <c r="L78" s="247" t="s">
        <v>261</v>
      </c>
      <c r="M78" s="248" t="s">
        <v>292</v>
      </c>
      <c r="N78" s="202">
        <f>IF(C90&gt;50,1,0)</f>
        <v>0</v>
      </c>
      <c r="O78" s="249">
        <f>IF(C92&gt;=50,1,0)</f>
        <v>0</v>
      </c>
      <c r="P78" s="231">
        <f>IF((C93/C92)&lt;0.75,1,0)</f>
        <v>0</v>
      </c>
      <c r="Q78" s="249">
        <f>IF(C94&lt;4,1,0)</f>
        <v>0</v>
      </c>
      <c r="R78" s="202" t="s">
        <v>217</v>
      </c>
      <c r="S78" s="202" t="s">
        <v>217</v>
      </c>
      <c r="T78" s="202" t="s">
        <v>217</v>
      </c>
      <c r="U78" s="231" t="s">
        <v>217</v>
      </c>
      <c r="V78" s="202" t="s">
        <v>217</v>
      </c>
      <c r="W78" s="202" t="s">
        <v>217</v>
      </c>
      <c r="X78" s="232" t="s">
        <v>217</v>
      </c>
      <c r="Y78" s="249">
        <f>IF(C85/C84&lt;1,1,0)</f>
        <v>0</v>
      </c>
      <c r="Z78" s="231" t="s">
        <v>217</v>
      </c>
      <c r="AA78" s="202" t="s">
        <v>217</v>
      </c>
      <c r="AB78" s="202" t="s">
        <v>217</v>
      </c>
      <c r="AC78" s="249" t="s">
        <v>217</v>
      </c>
      <c r="AD78" s="249">
        <f>IF(C85&lt;15,1,0)</f>
        <v>0</v>
      </c>
      <c r="AF78" s="231">
        <f t="shared" si="50"/>
        <v>0</v>
      </c>
      <c r="AG78" s="202">
        <f t="shared" si="50"/>
        <v>0</v>
      </c>
      <c r="AH78" s="202">
        <f t="shared" si="50"/>
        <v>0</v>
      </c>
      <c r="AI78" s="202">
        <f t="shared" si="50"/>
        <v>0</v>
      </c>
      <c r="AJ78" s="202" t="str">
        <f t="shared" si="35"/>
        <v>-</v>
      </c>
      <c r="AK78" s="202">
        <f t="shared" si="36"/>
        <v>0</v>
      </c>
      <c r="AL78" s="202" t="str">
        <f t="shared" si="51"/>
        <v>-</v>
      </c>
      <c r="AM78" s="232">
        <f t="shared" si="51"/>
        <v>0</v>
      </c>
      <c r="AN78" s="240">
        <f t="shared" si="38"/>
        <v>0</v>
      </c>
      <c r="AO78" s="362" t="str">
        <f>IF(AN78=6,E66,"")</f>
        <v/>
      </c>
      <c r="AP78" s="235">
        <f t="shared" si="39"/>
        <v>0</v>
      </c>
      <c r="BQ78" s="271">
        <f t="shared" si="49"/>
        <v>0</v>
      </c>
      <c r="BR78" s="259" t="str">
        <f>IF(BQ78=0,"",E66)</f>
        <v/>
      </c>
      <c r="BS78" s="291" t="str">
        <f t="shared" si="48"/>
        <v/>
      </c>
      <c r="BT78" s="230">
        <f t="shared" si="52"/>
        <v>0</v>
      </c>
      <c r="BU78" s="1286"/>
      <c r="BV78" s="1281"/>
      <c r="BW78" s="1282"/>
    </row>
    <row r="79" spans="1:75" ht="16.5" customHeight="1">
      <c r="A79" s="1241"/>
      <c r="B79" s="330"/>
      <c r="C79" s="282"/>
      <c r="D79" s="286"/>
      <c r="E79" s="1246"/>
      <c r="F79" s="1248"/>
      <c r="G79" s="359"/>
      <c r="H79" s="1297"/>
      <c r="I79" s="360"/>
      <c r="J79" s="286" t="s">
        <v>256</v>
      </c>
      <c r="K79" s="226" t="s">
        <v>217</v>
      </c>
      <c r="L79" s="286" t="s">
        <v>263</v>
      </c>
      <c r="M79" s="248" t="s">
        <v>294</v>
      </c>
      <c r="N79" s="202">
        <f>IF(C90&gt;50,1,0)</f>
        <v>0</v>
      </c>
      <c r="O79" s="251">
        <f>IF(C92&gt;=50,1,0)</f>
        <v>0</v>
      </c>
      <c r="P79" s="254">
        <f>IF((C93/C92)&lt;0.75,1,0)</f>
        <v>0</v>
      </c>
      <c r="Q79" s="251">
        <f>IF(C94&lt;4,1,0)</f>
        <v>0</v>
      </c>
      <c r="R79" s="202" t="s">
        <v>217</v>
      </c>
      <c r="S79" s="202" t="s">
        <v>217</v>
      </c>
      <c r="T79" s="202" t="s">
        <v>217</v>
      </c>
      <c r="U79" s="254" t="s">
        <v>217</v>
      </c>
      <c r="V79" s="250" t="s">
        <v>217</v>
      </c>
      <c r="W79" s="250" t="s">
        <v>217</v>
      </c>
      <c r="X79" s="255" t="s">
        <v>217</v>
      </c>
      <c r="Y79" s="251">
        <f>IF(C85/C84&lt;1,1,0)</f>
        <v>0</v>
      </c>
      <c r="Z79" s="254" t="s">
        <v>217</v>
      </c>
      <c r="AA79" s="250" t="s">
        <v>217</v>
      </c>
      <c r="AB79" s="250" t="s">
        <v>217</v>
      </c>
      <c r="AC79" s="251" t="s">
        <v>217</v>
      </c>
      <c r="AD79" s="251">
        <f>IF(C85&gt;=15,1,0)</f>
        <v>1</v>
      </c>
      <c r="AF79" s="254">
        <f t="shared" si="50"/>
        <v>0</v>
      </c>
      <c r="AG79" s="250">
        <f t="shared" si="50"/>
        <v>0</v>
      </c>
      <c r="AH79" s="250">
        <f t="shared" si="50"/>
        <v>0</v>
      </c>
      <c r="AI79" s="250">
        <f t="shared" si="50"/>
        <v>0</v>
      </c>
      <c r="AJ79" s="250" t="str">
        <f t="shared" si="35"/>
        <v>-</v>
      </c>
      <c r="AK79" s="250">
        <f t="shared" si="36"/>
        <v>0</v>
      </c>
      <c r="AL79" s="250" t="str">
        <f t="shared" si="51"/>
        <v>-</v>
      </c>
      <c r="AM79" s="255">
        <f t="shared" si="51"/>
        <v>1</v>
      </c>
      <c r="AN79" s="256">
        <f t="shared" si="38"/>
        <v>1</v>
      </c>
      <c r="AO79" s="365" t="str">
        <f>IF(AN79=6,E66,"")</f>
        <v/>
      </c>
      <c r="AP79" s="235">
        <f t="shared" si="39"/>
        <v>0</v>
      </c>
      <c r="BQ79" s="258">
        <f t="shared" si="49"/>
        <v>0</v>
      </c>
      <c r="BR79" s="259" t="str">
        <f>IF(BQ79=0,"",E66)</f>
        <v/>
      </c>
      <c r="BS79" s="291" t="str">
        <f t="shared" si="48"/>
        <v/>
      </c>
      <c r="BT79" s="230">
        <f t="shared" si="52"/>
        <v>0</v>
      </c>
      <c r="BU79" s="1286"/>
      <c r="BV79" s="1281"/>
      <c r="BW79" s="1282"/>
    </row>
    <row r="80" spans="1:75" ht="17.25" customHeight="1" thickBot="1">
      <c r="A80" s="1242"/>
      <c r="B80" s="367"/>
      <c r="C80" s="368"/>
      <c r="D80" s="369" t="s">
        <v>314</v>
      </c>
      <c r="E80" s="370" t="s">
        <v>142</v>
      </c>
      <c r="F80" s="371" t="s">
        <v>315</v>
      </c>
      <c r="G80" s="372" t="s">
        <v>316</v>
      </c>
      <c r="H80" s="367"/>
      <c r="I80" s="371"/>
      <c r="J80" s="373"/>
      <c r="K80" s="374"/>
      <c r="L80" s="375"/>
      <c r="M80" s="376"/>
      <c r="N80" s="202">
        <f>IF(C90&gt;50,1,0)</f>
        <v>0</v>
      </c>
      <c r="O80" s="202">
        <f>IF(B97="SI",1,0)</f>
        <v>0</v>
      </c>
      <c r="P80" s="202"/>
      <c r="Q80" s="202"/>
      <c r="R80" s="202"/>
      <c r="S80" s="202"/>
      <c r="T80" s="202"/>
      <c r="U80" s="202"/>
      <c r="V80" s="202"/>
      <c r="W80" s="202"/>
      <c r="X80" s="202"/>
      <c r="Y80" s="202"/>
      <c r="Z80" s="202"/>
      <c r="AA80" s="202"/>
      <c r="AB80" s="202"/>
      <c r="AC80" s="202"/>
      <c r="AD80" s="202"/>
      <c r="AF80" s="377">
        <f>N80</f>
        <v>0</v>
      </c>
      <c r="AG80" s="378">
        <f>O80</f>
        <v>0</v>
      </c>
      <c r="AH80" s="379"/>
      <c r="AI80" s="379"/>
      <c r="AJ80" s="379"/>
      <c r="AK80" s="379"/>
      <c r="AL80" s="379"/>
      <c r="AM80" s="379"/>
      <c r="AN80" s="380">
        <f>AF80+AG80</f>
        <v>0</v>
      </c>
      <c r="AO80" s="381" t="str">
        <f>IF(AN80=2,E80,"")</f>
        <v/>
      </c>
      <c r="AP80" s="235">
        <f t="shared" si="39"/>
        <v>0</v>
      </c>
      <c r="BQ80" s="271">
        <f t="shared" si="49"/>
        <v>0</v>
      </c>
      <c r="BR80" s="259" t="str">
        <f>IF(BQ80=0,"",E80)</f>
        <v/>
      </c>
      <c r="BS80" s="382" t="str">
        <f>IF(BR80="","",F80)</f>
        <v/>
      </c>
      <c r="BT80" s="230">
        <f t="shared" si="52"/>
        <v>0</v>
      </c>
      <c r="BU80" s="230">
        <f>BT80</f>
        <v>0</v>
      </c>
      <c r="BV80" s="383">
        <f>IF(BW80="",0,1)</f>
        <v>0</v>
      </c>
      <c r="BW80" s="384" t="str">
        <f>IF(BU80=0,"",E80)</f>
        <v/>
      </c>
    </row>
    <row r="81" spans="1:30" ht="15" customHeight="1" thickBot="1">
      <c r="C81" s="385"/>
      <c r="R81" s="202"/>
      <c r="S81" s="202"/>
      <c r="T81" s="202"/>
      <c r="U81" s="202"/>
      <c r="V81" s="202"/>
      <c r="W81" s="202"/>
      <c r="X81" s="202"/>
      <c r="Y81" s="202"/>
      <c r="Z81" s="202"/>
      <c r="AA81" s="202"/>
      <c r="AB81" s="202"/>
      <c r="AC81" s="202"/>
      <c r="AD81" s="202"/>
    </row>
    <row r="82" spans="1:30" ht="15" customHeight="1">
      <c r="A82" s="386" t="s">
        <v>317</v>
      </c>
      <c r="B82" s="387">
        <f>B84+B85</f>
        <v>82.673139260866918</v>
      </c>
      <c r="C82" s="385"/>
      <c r="R82" s="202"/>
      <c r="S82" s="202"/>
      <c r="T82" s="202"/>
      <c r="U82" s="202"/>
      <c r="V82" s="202"/>
      <c r="W82" s="202"/>
      <c r="X82" s="202"/>
      <c r="Y82" s="202"/>
      <c r="Z82" s="202"/>
      <c r="AA82" s="202"/>
      <c r="AB82" s="202"/>
      <c r="AC82" s="202"/>
      <c r="AD82" s="202"/>
    </row>
    <row r="83" spans="1:30" ht="15" customHeight="1" thickBot="1">
      <c r="A83" s="388" t="s">
        <v>318</v>
      </c>
      <c r="B83" s="389">
        <f>B86</f>
        <v>17.326860739133082</v>
      </c>
      <c r="C83" s="385"/>
      <c r="R83" s="202"/>
      <c r="S83" s="202"/>
      <c r="T83" s="202"/>
      <c r="U83" s="202"/>
      <c r="V83" s="202"/>
      <c r="W83" s="202"/>
      <c r="X83" s="202"/>
      <c r="Y83" s="202"/>
      <c r="Z83" s="202"/>
      <c r="AA83" s="202"/>
      <c r="AB83" s="202"/>
      <c r="AC83" s="202"/>
      <c r="AD83" s="202"/>
    </row>
    <row r="84" spans="1:30" ht="15" customHeight="1" thickBot="1">
      <c r="A84" s="390" t="s">
        <v>319</v>
      </c>
      <c r="B84" s="391">
        <f>100-B88</f>
        <v>37.52474336477588</v>
      </c>
      <c r="C84" s="392">
        <f>IF(B84=0,0.0000000000000000001,B84)</f>
        <v>37.52474336477588</v>
      </c>
      <c r="E84" s="393"/>
      <c r="F84" s="393"/>
      <c r="R84" s="202"/>
      <c r="S84" s="202"/>
      <c r="T84" s="202"/>
      <c r="U84" s="202"/>
      <c r="V84" s="202"/>
      <c r="W84" s="202"/>
      <c r="X84" s="202"/>
      <c r="Y84" s="202"/>
      <c r="Z84" s="202"/>
      <c r="AA84" s="202"/>
      <c r="AB84" s="202"/>
      <c r="AC84" s="202"/>
      <c r="AD84" s="202"/>
    </row>
    <row r="85" spans="1:30" ht="15" customHeight="1">
      <c r="A85" s="394" t="s">
        <v>320</v>
      </c>
      <c r="B85" s="391">
        <f>100-B84-B86</f>
        <v>45.148395896091039</v>
      </c>
      <c r="C85" s="395">
        <f>IF(B85=0,0.0000000000000000001,B85)</f>
        <v>45.148395896091039</v>
      </c>
      <c r="E85" s="1306" t="s">
        <v>321</v>
      </c>
      <c r="F85" s="1307"/>
      <c r="R85" s="202"/>
      <c r="S85" s="202"/>
      <c r="T85" s="202"/>
      <c r="U85" s="202"/>
      <c r="V85" s="202"/>
      <c r="W85" s="202"/>
      <c r="X85" s="202"/>
      <c r="Y85" s="202"/>
      <c r="Z85" s="202"/>
      <c r="AA85" s="202"/>
      <c r="AB85" s="202"/>
      <c r="AC85" s="202"/>
      <c r="AD85" s="202"/>
    </row>
    <row r="86" spans="1:30" ht="15" customHeight="1">
      <c r="A86" s="394" t="s">
        <v>322</v>
      </c>
      <c r="B86" s="396">
        <f>B90</f>
        <v>17.326860739133082</v>
      </c>
      <c r="C86" s="754">
        <f>IF(B86=0,0.0000000000000000001,B86)</f>
        <v>17.326860739133082</v>
      </c>
      <c r="E86" s="1308"/>
      <c r="F86" s="1309"/>
      <c r="R86" s="202"/>
      <c r="S86" s="202"/>
      <c r="T86" s="202"/>
      <c r="U86" s="202"/>
      <c r="V86" s="202"/>
      <c r="W86" s="202"/>
      <c r="X86" s="202"/>
      <c r="Y86" s="202"/>
      <c r="Z86" s="202"/>
      <c r="AA86" s="202"/>
      <c r="AB86" s="202"/>
      <c r="AC86" s="202"/>
      <c r="AD86" s="202"/>
    </row>
    <row r="87" spans="1:30" ht="15" customHeight="1">
      <c r="A87" s="753" t="s">
        <v>323</v>
      </c>
      <c r="B87" s="398">
        <f>+'D6913'!F32</f>
        <v>70.05591045556028</v>
      </c>
      <c r="C87" s="755">
        <f>IF(B87=0,0.0000000000000000001,B87)</f>
        <v>70.05591045556028</v>
      </c>
      <c r="E87" s="1310" t="s">
        <v>324</v>
      </c>
      <c r="F87" s="1311"/>
      <c r="R87" s="202"/>
      <c r="S87" s="202"/>
      <c r="T87" s="202"/>
      <c r="U87" s="202"/>
      <c r="V87" s="202"/>
      <c r="W87" s="202"/>
      <c r="X87" s="202"/>
      <c r="Y87" s="202"/>
      <c r="Z87" s="202"/>
      <c r="AA87" s="202"/>
      <c r="AB87" s="202"/>
      <c r="AC87" s="202"/>
      <c r="AD87" s="202"/>
    </row>
    <row r="88" spans="1:30" ht="14.25" customHeight="1" thickBot="1">
      <c r="A88" s="397" t="s">
        <v>325</v>
      </c>
      <c r="B88" s="398">
        <f>+'D6913'!F34</f>
        <v>62.47525663522412</v>
      </c>
      <c r="C88" s="755">
        <f>IF(B88=0,0.0000000000000000001,B88)</f>
        <v>62.47525663522412</v>
      </c>
      <c r="E88" s="1312"/>
      <c r="F88" s="1313"/>
      <c r="J88" s="303"/>
      <c r="K88" s="399"/>
      <c r="R88" s="202"/>
      <c r="S88" s="202"/>
      <c r="T88" s="202"/>
      <c r="U88" s="202"/>
      <c r="V88" s="202"/>
      <c r="W88" s="202"/>
      <c r="X88" s="202"/>
      <c r="Y88" s="202"/>
      <c r="Z88" s="202"/>
      <c r="AA88" s="202"/>
      <c r="AB88" s="202"/>
      <c r="AC88" s="202"/>
      <c r="AD88" s="202"/>
    </row>
    <row r="89" spans="1:30" ht="16.5" customHeight="1" thickBot="1">
      <c r="A89" s="752" t="s">
        <v>326</v>
      </c>
      <c r="B89" s="750">
        <f>100-B88</f>
        <v>37.52474336477588</v>
      </c>
      <c r="C89" s="756">
        <f>B89</f>
        <v>37.52474336477588</v>
      </c>
      <c r="E89" s="400"/>
      <c r="F89" s="401"/>
      <c r="J89" s="303"/>
      <c r="K89" s="399"/>
      <c r="R89" s="202"/>
      <c r="S89" s="202"/>
      <c r="T89" s="202"/>
      <c r="U89" s="202"/>
      <c r="V89" s="202"/>
      <c r="W89" s="202"/>
      <c r="X89" s="202"/>
      <c r="Y89" s="202"/>
      <c r="Z89" s="202"/>
      <c r="AA89" s="202"/>
      <c r="AB89" s="202"/>
      <c r="AC89" s="202"/>
      <c r="AD89" s="202"/>
    </row>
    <row r="90" spans="1:30" ht="15" customHeight="1" thickBot="1">
      <c r="A90" s="397" t="s">
        <v>327</v>
      </c>
      <c r="B90" s="398">
        <f>+'D6913'!F46</f>
        <v>17.326860739133082</v>
      </c>
      <c r="C90" s="755">
        <f t="shared" ref="C90:C96" si="53">IF(B90=0,0.0000000000000000001,B90)</f>
        <v>17.326860739133082</v>
      </c>
      <c r="D90" s="402"/>
      <c r="E90" s="403" t="s">
        <v>209</v>
      </c>
      <c r="F90" s="404" t="s">
        <v>121</v>
      </c>
      <c r="R90" s="202"/>
      <c r="S90" s="202"/>
      <c r="T90" s="202"/>
      <c r="U90" s="202"/>
      <c r="V90" s="202"/>
      <c r="W90" s="202"/>
      <c r="X90" s="202"/>
      <c r="Y90" s="202"/>
      <c r="Z90" s="202"/>
      <c r="AA90" s="202"/>
      <c r="AB90" s="202"/>
      <c r="AC90" s="202"/>
      <c r="AD90" s="202"/>
    </row>
    <row r="91" spans="1:30" ht="14.25" customHeight="1" thickBot="1">
      <c r="A91" s="394" t="s">
        <v>328</v>
      </c>
      <c r="B91" s="391">
        <f>100-B90</f>
        <v>82.673139260866918</v>
      </c>
      <c r="C91" s="395">
        <f t="shared" si="53"/>
        <v>82.673139260866918</v>
      </c>
      <c r="E91" s="405"/>
      <c r="F91" s="406"/>
      <c r="R91" s="202"/>
      <c r="S91" s="202"/>
      <c r="T91" s="202"/>
      <c r="U91" s="202"/>
      <c r="V91" s="202"/>
      <c r="W91" s="202"/>
      <c r="X91" s="202"/>
      <c r="Y91" s="202"/>
      <c r="Z91" s="202"/>
      <c r="AA91" s="202"/>
      <c r="AB91" s="202"/>
      <c r="AC91" s="202"/>
      <c r="AD91" s="202"/>
    </row>
    <row r="92" spans="1:30" ht="15" customHeight="1">
      <c r="A92" s="397" t="s">
        <v>329</v>
      </c>
      <c r="B92" s="398">
        <f>+'D6913'!L34</f>
        <v>31</v>
      </c>
      <c r="C92" s="755">
        <f t="shared" si="53"/>
        <v>31</v>
      </c>
      <c r="D92" s="48"/>
      <c r="E92" s="407" t="str">
        <f>IF(BW5="","",BW5)</f>
        <v/>
      </c>
      <c r="F92" s="408" t="str">
        <f>VLOOKUP(E92,BR5:BS80,2,(FALSE))</f>
        <v/>
      </c>
      <c r="G92" s="409"/>
      <c r="H92" s="409"/>
      <c r="R92" s="202"/>
      <c r="S92" s="202"/>
      <c r="T92" s="202"/>
      <c r="U92" s="202"/>
      <c r="V92" s="202"/>
      <c r="W92" s="202"/>
      <c r="X92" s="202"/>
      <c r="Y92" s="202"/>
      <c r="Z92" s="202"/>
      <c r="AA92" s="202"/>
      <c r="AB92" s="202"/>
      <c r="AC92" s="202"/>
      <c r="AD92" s="202"/>
    </row>
    <row r="93" spans="1:30" ht="15" customHeight="1">
      <c r="A93" s="752" t="s">
        <v>330</v>
      </c>
      <c r="B93" s="751">
        <f>B92</f>
        <v>31</v>
      </c>
      <c r="C93" s="757">
        <f t="shared" si="53"/>
        <v>31</v>
      </c>
      <c r="D93" s="48"/>
      <c r="E93" s="410" t="str">
        <f>IF(BW7="","",BW7)</f>
        <v/>
      </c>
      <c r="F93" s="411" t="str">
        <f>VLOOKUP(E93,BR5:BS80,2,(FALSE))</f>
        <v/>
      </c>
      <c r="G93" s="409"/>
      <c r="H93" s="409"/>
      <c r="R93" s="202"/>
      <c r="S93" s="202"/>
      <c r="T93" s="202"/>
      <c r="U93" s="202"/>
      <c r="V93" s="202"/>
      <c r="W93" s="202"/>
      <c r="X93" s="202"/>
      <c r="Y93" s="202"/>
      <c r="Z93" s="202"/>
      <c r="AA93" s="202"/>
      <c r="AB93" s="202"/>
      <c r="AC93" s="202"/>
      <c r="AD93" s="202"/>
    </row>
    <row r="94" spans="1:30" ht="15" customHeight="1">
      <c r="A94" s="397" t="s">
        <v>331</v>
      </c>
      <c r="B94" s="398">
        <f>+'D6913'!L36</f>
        <v>11.615210490445087</v>
      </c>
      <c r="C94" s="755">
        <f t="shared" si="53"/>
        <v>11.615210490445087</v>
      </c>
      <c r="D94" s="48"/>
      <c r="E94" s="410" t="str">
        <f>IF(BW9="","",BW9)</f>
        <v/>
      </c>
      <c r="F94" s="411" t="str">
        <f>VLOOKUP(E94,BR5:BS80,2,(FALSE))</f>
        <v/>
      </c>
      <c r="G94" s="409"/>
      <c r="H94" s="409"/>
      <c r="R94" s="202"/>
      <c r="S94" s="202"/>
      <c r="T94" s="202"/>
      <c r="U94" s="202"/>
      <c r="V94" s="202"/>
      <c r="W94" s="202"/>
      <c r="X94" s="202"/>
      <c r="Y94" s="202"/>
      <c r="Z94" s="202"/>
      <c r="AA94" s="202"/>
      <c r="AB94" s="202"/>
      <c r="AC94" s="202"/>
      <c r="AD94" s="202"/>
    </row>
    <row r="95" spans="1:30" ht="15" customHeight="1">
      <c r="A95" s="329" t="s">
        <v>98</v>
      </c>
      <c r="B95" s="398">
        <f>'D6913'!V1</f>
        <v>192.23469140394531</v>
      </c>
      <c r="C95" s="755">
        <f t="shared" si="53"/>
        <v>192.23469140394531</v>
      </c>
      <c r="D95" s="48"/>
      <c r="E95" s="410" t="str">
        <f>IF(BW11="","",BW11)</f>
        <v/>
      </c>
      <c r="F95" s="506" t="str">
        <f>VLOOKUP(E95,BR5:BS80,2,(FALSE))</f>
        <v/>
      </c>
      <c r="G95" s="409"/>
      <c r="H95" s="409"/>
      <c r="R95" s="202"/>
      <c r="S95" s="202"/>
      <c r="T95" s="202"/>
      <c r="U95" s="202"/>
      <c r="V95" s="202"/>
      <c r="W95" s="202"/>
      <c r="X95" s="202"/>
      <c r="Y95" s="202"/>
      <c r="Z95" s="202"/>
      <c r="AA95" s="202"/>
      <c r="AB95" s="202"/>
      <c r="AC95" s="202"/>
      <c r="AD95" s="202"/>
    </row>
    <row r="96" spans="1:30" ht="15" customHeight="1">
      <c r="A96" s="329" t="s">
        <v>99</v>
      </c>
      <c r="B96" s="412">
        <f>'D6913'!V2</f>
        <v>2.7454763857021636</v>
      </c>
      <c r="C96" s="758">
        <f t="shared" si="53"/>
        <v>2.7454763857021636</v>
      </c>
      <c r="D96" s="48"/>
      <c r="E96" s="410" t="str">
        <f>IF(BW13="","",BW13)</f>
        <v/>
      </c>
      <c r="F96" s="411" t="str">
        <f>VLOOKUP(E96,BR5:BS80,2,(FALSE))</f>
        <v/>
      </c>
      <c r="G96" s="409"/>
      <c r="H96" s="409"/>
      <c r="R96" s="202"/>
      <c r="S96" s="202"/>
      <c r="T96" s="202"/>
      <c r="U96" s="202"/>
      <c r="V96" s="202"/>
      <c r="W96" s="202"/>
      <c r="X96" s="202"/>
      <c r="Y96" s="202"/>
      <c r="Z96" s="202"/>
      <c r="AA96" s="202"/>
      <c r="AB96" s="202"/>
      <c r="AC96" s="202"/>
      <c r="AD96" s="202"/>
    </row>
    <row r="97" spans="1:30" ht="15" customHeight="1">
      <c r="A97" s="397" t="s">
        <v>332</v>
      </c>
      <c r="B97" s="413" t="str">
        <f>IF(B98=1,"SI","NO")</f>
        <v>NO</v>
      </c>
      <c r="D97" s="48"/>
      <c r="E97" s="410" t="str">
        <f>IF(BW15="","",BW15)</f>
        <v/>
      </c>
      <c r="F97" s="411" t="str">
        <f>VLOOKUP(E97,BR5:BS80,2,(FALSE))</f>
        <v/>
      </c>
      <c r="G97" s="409"/>
      <c r="H97" s="409"/>
      <c r="R97" s="202"/>
      <c r="S97" s="202"/>
      <c r="T97" s="202"/>
      <c r="U97" s="202"/>
      <c r="V97" s="202"/>
      <c r="W97" s="202"/>
      <c r="X97" s="202"/>
      <c r="Y97" s="202"/>
      <c r="Z97" s="202"/>
      <c r="AA97" s="202"/>
      <c r="AB97" s="202"/>
      <c r="AC97" s="202"/>
      <c r="AD97" s="202"/>
    </row>
    <row r="98" spans="1:30" ht="15" customHeight="1">
      <c r="B98" s="414">
        <v>2</v>
      </c>
      <c r="C98" s="415"/>
      <c r="D98" s="48"/>
      <c r="E98" s="410" t="str">
        <f>IF(BW17="","",BW17)</f>
        <v/>
      </c>
      <c r="F98" s="411" t="str">
        <f>VLOOKUP(E98,BR5:BS80,2,(FALSE))</f>
        <v/>
      </c>
      <c r="G98" s="409"/>
      <c r="H98" s="409"/>
      <c r="R98" s="202"/>
      <c r="S98" s="202"/>
      <c r="T98" s="202"/>
      <c r="U98" s="202"/>
      <c r="V98" s="202"/>
      <c r="W98" s="202"/>
      <c r="X98" s="202"/>
      <c r="Y98" s="202"/>
      <c r="Z98" s="202"/>
      <c r="AA98" s="202"/>
      <c r="AB98" s="202"/>
      <c r="AC98" s="202"/>
      <c r="AD98" s="202"/>
    </row>
    <row r="99" spans="1:30">
      <c r="D99" s="48"/>
      <c r="E99" s="410" t="str">
        <f>IF(BW19="","",BW19)</f>
        <v>SC</v>
      </c>
      <c r="F99" s="411" t="str">
        <f>VLOOKUP(E99,BR5:BS80,2,(FALSE))</f>
        <v>Arena arcillosa con grava</v>
      </c>
      <c r="G99" s="409"/>
      <c r="H99" s="409"/>
      <c r="R99" s="202"/>
      <c r="S99" s="202"/>
      <c r="T99" s="202"/>
      <c r="U99" s="202"/>
      <c r="V99" s="202"/>
      <c r="W99" s="202"/>
      <c r="X99" s="202"/>
      <c r="Y99" s="202"/>
      <c r="Z99" s="202"/>
      <c r="AA99" s="202"/>
      <c r="AB99" s="202"/>
      <c r="AC99" s="202"/>
      <c r="AD99" s="202"/>
    </row>
    <row r="100" spans="1:30">
      <c r="D100" s="48"/>
      <c r="E100" s="410" t="str">
        <f>IF(BW24="","",BW24)</f>
        <v/>
      </c>
      <c r="F100" s="411" t="str">
        <f>VLOOKUP(E100,BR5:BS80,2,(FALSE))</f>
        <v/>
      </c>
      <c r="G100" s="409"/>
      <c r="H100" s="409"/>
      <c r="R100" s="202"/>
      <c r="S100" s="202"/>
      <c r="T100" s="202"/>
      <c r="U100" s="202"/>
      <c r="V100" s="202"/>
      <c r="W100" s="202"/>
      <c r="X100" s="202"/>
      <c r="Y100" s="202"/>
      <c r="Z100" s="202"/>
      <c r="AA100" s="202"/>
      <c r="AB100" s="202"/>
      <c r="AC100" s="202"/>
      <c r="AD100" s="202"/>
    </row>
    <row r="101" spans="1:30">
      <c r="A101" s="416"/>
      <c r="B101" s="417"/>
      <c r="D101" s="48"/>
      <c r="E101" s="410" t="str">
        <f>IF(BW31="","",BW31)</f>
        <v/>
      </c>
      <c r="F101" s="411" t="str">
        <f>VLOOKUP(E101,BR5:BS80,2,(FALSE))</f>
        <v/>
      </c>
      <c r="G101" s="409"/>
      <c r="H101" s="409"/>
      <c r="R101" s="202"/>
      <c r="S101" s="202"/>
      <c r="T101" s="202"/>
      <c r="U101" s="202"/>
      <c r="V101" s="202"/>
      <c r="W101" s="202"/>
      <c r="X101" s="202"/>
      <c r="Y101" s="202"/>
      <c r="Z101" s="202"/>
      <c r="AA101" s="202"/>
      <c r="AB101" s="202"/>
      <c r="AC101" s="202"/>
      <c r="AD101" s="202"/>
    </row>
    <row r="102" spans="1:30">
      <c r="D102" s="48"/>
      <c r="E102" s="410" t="str">
        <f>IF(BW38="","",BW38)</f>
        <v/>
      </c>
      <c r="F102" s="411" t="str">
        <f>VLOOKUP(E102,BR5:BS80,2,(FALSE))</f>
        <v/>
      </c>
      <c r="G102" s="409"/>
      <c r="H102" s="409"/>
      <c r="R102" s="202"/>
      <c r="S102" s="202"/>
      <c r="T102" s="202"/>
      <c r="U102" s="202"/>
      <c r="V102" s="202"/>
      <c r="W102" s="202"/>
      <c r="X102" s="202"/>
      <c r="Y102" s="202"/>
      <c r="Z102" s="202"/>
      <c r="AA102" s="202"/>
      <c r="AB102" s="202"/>
      <c r="AC102" s="202"/>
      <c r="AD102" s="202"/>
    </row>
    <row r="103" spans="1:30">
      <c r="D103" s="48"/>
      <c r="E103" s="410" t="str">
        <f>IF(BW52="","",BW52)</f>
        <v/>
      </c>
      <c r="F103" s="411" t="str">
        <f>VLOOKUP(E103,BR5:BS80,2,(FALSE))</f>
        <v/>
      </c>
      <c r="G103" s="409"/>
      <c r="H103" s="409"/>
      <c r="R103" s="202"/>
      <c r="S103" s="202"/>
      <c r="T103" s="202"/>
      <c r="U103" s="202"/>
      <c r="V103" s="202"/>
      <c r="W103" s="202"/>
      <c r="X103" s="202"/>
      <c r="Y103" s="202"/>
      <c r="Z103" s="202"/>
      <c r="AA103" s="202"/>
      <c r="AB103" s="202"/>
      <c r="AC103" s="202"/>
      <c r="AD103" s="202"/>
    </row>
    <row r="104" spans="1:30">
      <c r="D104" s="48"/>
      <c r="E104" s="410" t="str">
        <f>IF(BW59="","",BW59)</f>
        <v/>
      </c>
      <c r="F104" s="411" t="str">
        <f>VLOOKUP(E104,BR5:BS80,2,(FALSE))</f>
        <v/>
      </c>
      <c r="G104" s="409"/>
      <c r="H104" s="409"/>
      <c r="R104" s="202"/>
      <c r="S104" s="202"/>
      <c r="T104" s="202"/>
      <c r="U104" s="202"/>
      <c r="V104" s="202"/>
      <c r="W104" s="202"/>
      <c r="X104" s="202"/>
      <c r="Y104" s="202"/>
      <c r="Z104" s="202"/>
      <c r="AA104" s="202"/>
      <c r="AB104" s="202"/>
      <c r="AC104" s="202"/>
      <c r="AD104" s="202"/>
    </row>
    <row r="105" spans="1:30">
      <c r="D105" s="48"/>
      <c r="E105" s="410" t="str">
        <f>IF(BW66="","",BW66)</f>
        <v/>
      </c>
      <c r="F105" s="411" t="str">
        <f>VLOOKUP(E105,BR5:BS80,2,(FALSE))</f>
        <v/>
      </c>
      <c r="G105" s="409"/>
      <c r="H105" s="409"/>
      <c r="R105" s="202"/>
      <c r="S105" s="202"/>
      <c r="T105" s="202"/>
      <c r="U105" s="202"/>
      <c r="V105" s="202"/>
      <c r="W105" s="202"/>
      <c r="X105" s="202"/>
      <c r="Y105" s="202"/>
      <c r="Z105" s="202"/>
      <c r="AA105" s="202"/>
      <c r="AB105" s="202"/>
      <c r="AC105" s="202"/>
      <c r="AD105" s="202"/>
    </row>
    <row r="106" spans="1:30" ht="13.8" thickBot="1">
      <c r="D106" s="48"/>
      <c r="E106" s="418" t="str">
        <f>IF(BW80="","",BW80)</f>
        <v/>
      </c>
      <c r="F106" s="419" t="str">
        <f>VLOOKUP(E106,BR5:BS80,2,(FALSE))</f>
        <v/>
      </c>
      <c r="G106" s="409"/>
      <c r="H106" s="409"/>
      <c r="R106" s="202"/>
      <c r="S106" s="202"/>
      <c r="T106" s="202"/>
      <c r="U106" s="202"/>
      <c r="V106" s="202"/>
      <c r="W106" s="202"/>
      <c r="X106" s="202"/>
      <c r="Y106" s="202"/>
      <c r="Z106" s="202"/>
      <c r="AA106" s="202"/>
      <c r="AB106" s="202"/>
      <c r="AC106" s="202"/>
      <c r="AD106" s="202"/>
    </row>
    <row r="107" spans="1:30" ht="15">
      <c r="E107" s="748" t="str">
        <f>CONCATENATE(E92," ",E93," ",E94," ",E95," ",E96," ",E97," ",E98," ",E99," ",E100," ",E101," ",E102," ",E103," ",E104," ",E105," ",E106)</f>
        <v xml:space="preserve">       SC       </v>
      </c>
      <c r="F107" s="507" t="str">
        <f>CONCATENATE(F92," ",F93," ",F94," ",F95," ",F96," ",F97," ",F98," ",F99," ",F100," ",F101," ",F102," ",F103," ",F104," ",F105," ",F106)</f>
        <v xml:space="preserve">       Arena arcillosa con grava       </v>
      </c>
      <c r="R107" s="202"/>
      <c r="S107" s="202"/>
      <c r="T107" s="202"/>
      <c r="U107" s="202"/>
      <c r="V107" s="202"/>
      <c r="W107" s="202"/>
      <c r="X107" s="202"/>
      <c r="Y107" s="202"/>
      <c r="Z107" s="202"/>
      <c r="AA107" s="202"/>
      <c r="AB107" s="202"/>
      <c r="AC107" s="202"/>
      <c r="AD107" s="202"/>
    </row>
    <row r="108" spans="1:30">
      <c r="E108" s="393"/>
      <c r="F108" s="393"/>
      <c r="R108" s="202"/>
      <c r="S108" s="202"/>
      <c r="T108" s="202"/>
      <c r="U108" s="202"/>
      <c r="V108" s="202"/>
      <c r="W108" s="202"/>
      <c r="X108" s="202"/>
      <c r="Y108" s="202"/>
      <c r="Z108" s="202"/>
      <c r="AA108" s="202"/>
      <c r="AB108" s="202"/>
      <c r="AC108" s="202"/>
      <c r="AD108" s="202"/>
    </row>
    <row r="109" spans="1:30">
      <c r="E109" s="393"/>
      <c r="F109" s="393"/>
      <c r="R109" s="202"/>
      <c r="S109" s="202"/>
      <c r="T109" s="202"/>
      <c r="U109" s="202"/>
      <c r="V109" s="202"/>
      <c r="W109" s="202"/>
      <c r="X109" s="202"/>
      <c r="Y109" s="202"/>
      <c r="Z109" s="202"/>
      <c r="AA109" s="202"/>
      <c r="AB109" s="202"/>
      <c r="AC109" s="202"/>
      <c r="AD109" s="202"/>
    </row>
    <row r="110" spans="1:30">
      <c r="E110" s="393"/>
      <c r="F110" s="393"/>
      <c r="R110" s="202"/>
      <c r="S110" s="202"/>
      <c r="T110" s="202"/>
      <c r="U110" s="202"/>
      <c r="V110" s="202"/>
      <c r="W110" s="202"/>
      <c r="X110" s="202"/>
      <c r="Y110" s="202"/>
      <c r="Z110" s="202"/>
      <c r="AA110" s="202"/>
      <c r="AB110" s="202"/>
      <c r="AC110" s="202"/>
      <c r="AD110" s="202"/>
    </row>
    <row r="111" spans="1:30">
      <c r="E111" s="393"/>
      <c r="F111" s="393"/>
      <c r="R111" s="202"/>
      <c r="S111" s="202"/>
      <c r="T111" s="202"/>
      <c r="U111" s="202"/>
      <c r="V111" s="202"/>
      <c r="W111" s="202"/>
      <c r="X111" s="202"/>
      <c r="Y111" s="202"/>
      <c r="Z111" s="202"/>
      <c r="AA111" s="202"/>
      <c r="AB111" s="202"/>
      <c r="AC111" s="202"/>
      <c r="AD111" s="202"/>
    </row>
    <row r="112" spans="1:30">
      <c r="E112" s="393"/>
      <c r="F112" s="393"/>
      <c r="R112" s="202"/>
      <c r="S112" s="202"/>
      <c r="T112" s="202"/>
      <c r="U112" s="202"/>
      <c r="V112" s="202"/>
      <c r="W112" s="202"/>
      <c r="X112" s="202"/>
      <c r="Y112" s="202"/>
      <c r="Z112" s="202"/>
      <c r="AA112" s="202"/>
      <c r="AB112" s="202"/>
      <c r="AC112" s="202"/>
      <c r="AD112" s="202"/>
    </row>
    <row r="113" spans="5:30">
      <c r="E113" s="393"/>
      <c r="F113" s="393"/>
      <c r="R113" s="202"/>
      <c r="S113" s="202"/>
      <c r="T113" s="202"/>
      <c r="U113" s="202"/>
      <c r="V113" s="202"/>
      <c r="W113" s="202"/>
      <c r="X113" s="202"/>
      <c r="Y113" s="202"/>
      <c r="Z113" s="202"/>
      <c r="AA113" s="202"/>
      <c r="AB113" s="202"/>
      <c r="AC113" s="202"/>
      <c r="AD113" s="202"/>
    </row>
    <row r="114" spans="5:30">
      <c r="E114" s="393"/>
      <c r="F114" s="393"/>
      <c r="R114" s="202"/>
      <c r="S114" s="202"/>
      <c r="T114" s="202"/>
      <c r="U114" s="202"/>
      <c r="V114" s="202"/>
      <c r="W114" s="202"/>
      <c r="X114" s="202"/>
      <c r="Y114" s="202"/>
      <c r="Z114" s="202"/>
      <c r="AA114" s="202"/>
      <c r="AB114" s="202"/>
      <c r="AC114" s="202"/>
      <c r="AD114" s="202"/>
    </row>
    <row r="115" spans="5:30">
      <c r="E115" s="393"/>
      <c r="F115" s="393"/>
      <c r="R115" s="202"/>
      <c r="S115" s="202"/>
      <c r="T115" s="202"/>
      <c r="U115" s="202"/>
      <c r="V115" s="202"/>
      <c r="W115" s="202"/>
      <c r="X115" s="202"/>
      <c r="Y115" s="202"/>
      <c r="Z115" s="202"/>
      <c r="AA115" s="202"/>
      <c r="AB115" s="202"/>
      <c r="AC115" s="202"/>
      <c r="AD115" s="202"/>
    </row>
    <row r="116" spans="5:30">
      <c r="E116" s="393"/>
      <c r="F116" s="393"/>
    </row>
    <row r="117" spans="5:30">
      <c r="E117" s="393"/>
      <c r="F117" s="393"/>
    </row>
    <row r="118" spans="5:30">
      <c r="E118" s="393"/>
      <c r="F118" s="393"/>
    </row>
    <row r="119" spans="5:30">
      <c r="E119" s="393"/>
      <c r="F119" s="393"/>
    </row>
    <row r="120" spans="5:30">
      <c r="E120" s="393"/>
      <c r="F120" s="393"/>
    </row>
    <row r="121" spans="5:30">
      <c r="E121" s="393"/>
      <c r="F121" s="393"/>
    </row>
    <row r="122" spans="5:30">
      <c r="E122" s="393"/>
      <c r="F122" s="393"/>
    </row>
    <row r="123" spans="5:30">
      <c r="E123" s="393"/>
      <c r="F123" s="393"/>
    </row>
    <row r="124" spans="5:30">
      <c r="E124" s="393"/>
      <c r="F124" s="393"/>
    </row>
    <row r="125" spans="5:30">
      <c r="E125" s="393"/>
      <c r="F125" s="393"/>
    </row>
    <row r="126" spans="5:30">
      <c r="E126" s="393"/>
      <c r="F126" s="393"/>
    </row>
    <row r="127" spans="5:30">
      <c r="E127" s="393"/>
      <c r="F127" s="393"/>
    </row>
    <row r="128" spans="5:30">
      <c r="E128" s="393"/>
      <c r="F128" s="393"/>
    </row>
    <row r="129" spans="5:6">
      <c r="E129" s="393"/>
      <c r="F129" s="393"/>
    </row>
    <row r="130" spans="5:6">
      <c r="E130" s="393"/>
      <c r="F130" s="393"/>
    </row>
    <row r="131" spans="5:6">
      <c r="E131" s="393"/>
      <c r="F131" s="393"/>
    </row>
    <row r="132" spans="5:6">
      <c r="E132" s="393"/>
      <c r="F132" s="393"/>
    </row>
    <row r="133" spans="5:6">
      <c r="E133" s="393"/>
      <c r="F133" s="393"/>
    </row>
    <row r="134" spans="5:6">
      <c r="E134" s="393"/>
      <c r="F134" s="393"/>
    </row>
    <row r="135" spans="5:6">
      <c r="E135" s="393"/>
      <c r="F135" s="393"/>
    </row>
    <row r="136" spans="5:6">
      <c r="E136" s="393"/>
      <c r="F136" s="393"/>
    </row>
    <row r="137" spans="5:6">
      <c r="E137" s="393"/>
      <c r="F137" s="393"/>
    </row>
    <row r="138" spans="5:6">
      <c r="E138" s="393"/>
      <c r="F138" s="393"/>
    </row>
    <row r="139" spans="5:6">
      <c r="E139" s="393"/>
      <c r="F139" s="393"/>
    </row>
    <row r="140" spans="5:6">
      <c r="E140" s="393"/>
      <c r="F140" s="393"/>
    </row>
    <row r="141" spans="5:6">
      <c r="E141" s="393"/>
      <c r="F141" s="393"/>
    </row>
    <row r="142" spans="5:6">
      <c r="E142" s="393"/>
      <c r="F142" s="393"/>
    </row>
    <row r="143" spans="5:6">
      <c r="E143" s="393"/>
      <c r="F143" s="393"/>
    </row>
    <row r="144" spans="5:6">
      <c r="E144" s="393"/>
      <c r="F144" s="393"/>
    </row>
    <row r="145" spans="5:6">
      <c r="E145" s="393"/>
      <c r="F145" s="393"/>
    </row>
    <row r="146" spans="5:6">
      <c r="E146" s="393"/>
      <c r="F146" s="393"/>
    </row>
    <row r="147" spans="5:6">
      <c r="E147" s="393"/>
      <c r="F147" s="393"/>
    </row>
    <row r="148" spans="5:6">
      <c r="E148" s="393"/>
      <c r="F148" s="393"/>
    </row>
    <row r="149" spans="5:6">
      <c r="E149" s="393"/>
      <c r="F149" s="393"/>
    </row>
    <row r="150" spans="5:6">
      <c r="E150" s="393"/>
      <c r="F150" s="393"/>
    </row>
    <row r="151" spans="5:6">
      <c r="E151" s="393"/>
      <c r="F151" s="393"/>
    </row>
    <row r="152" spans="5:6">
      <c r="E152" s="393"/>
      <c r="F152" s="393"/>
    </row>
    <row r="153" spans="5:6">
      <c r="E153" s="393"/>
      <c r="F153" s="393"/>
    </row>
    <row r="154" spans="5:6">
      <c r="E154" s="393"/>
      <c r="F154" s="393"/>
    </row>
    <row r="155" spans="5:6">
      <c r="E155" s="393"/>
      <c r="F155" s="393"/>
    </row>
    <row r="156" spans="5:6">
      <c r="E156" s="393"/>
      <c r="F156" s="393"/>
    </row>
    <row r="157" spans="5:6">
      <c r="E157" s="393"/>
      <c r="F157" s="393"/>
    </row>
    <row r="158" spans="5:6">
      <c r="E158" s="393"/>
      <c r="F158" s="393"/>
    </row>
    <row r="159" spans="5:6">
      <c r="E159" s="393"/>
      <c r="F159" s="393"/>
    </row>
    <row r="160" spans="5:6">
      <c r="E160" s="393"/>
      <c r="F160" s="393"/>
    </row>
    <row r="161" spans="5:6">
      <c r="E161" s="393"/>
      <c r="F161" s="393"/>
    </row>
    <row r="162" spans="5:6">
      <c r="E162" s="393"/>
      <c r="F162" s="393"/>
    </row>
    <row r="163" spans="5:6">
      <c r="E163" s="393"/>
      <c r="F163" s="393"/>
    </row>
    <row r="164" spans="5:6">
      <c r="E164" s="393"/>
      <c r="F164" s="393"/>
    </row>
    <row r="165" spans="5:6">
      <c r="E165" s="393"/>
      <c r="F165" s="393"/>
    </row>
    <row r="166" spans="5:6">
      <c r="E166" s="393"/>
      <c r="F166" s="393"/>
    </row>
    <row r="167" spans="5:6">
      <c r="E167" s="393"/>
      <c r="F167" s="393"/>
    </row>
    <row r="168" spans="5:6">
      <c r="E168" s="393"/>
      <c r="F168" s="393"/>
    </row>
    <row r="169" spans="5:6">
      <c r="E169" s="393"/>
      <c r="F169" s="393"/>
    </row>
    <row r="170" spans="5:6">
      <c r="E170" s="393"/>
      <c r="F170" s="393"/>
    </row>
    <row r="171" spans="5:6">
      <c r="E171" s="393"/>
      <c r="F171" s="393"/>
    </row>
    <row r="172" spans="5:6">
      <c r="E172" s="393"/>
      <c r="F172" s="393"/>
    </row>
    <row r="173" spans="5:6">
      <c r="E173" s="393"/>
      <c r="F173" s="393"/>
    </row>
    <row r="174" spans="5:6">
      <c r="E174" s="393"/>
      <c r="F174" s="393"/>
    </row>
    <row r="175" spans="5:6">
      <c r="E175" s="393"/>
      <c r="F175" s="393"/>
    </row>
    <row r="176" spans="5:6">
      <c r="E176" s="393"/>
      <c r="F176" s="393"/>
    </row>
    <row r="177" spans="5:6">
      <c r="E177" s="393"/>
      <c r="F177" s="393"/>
    </row>
    <row r="178" spans="5:6">
      <c r="E178" s="393"/>
      <c r="F178" s="393"/>
    </row>
    <row r="179" spans="5:6">
      <c r="E179" s="393"/>
      <c r="F179" s="393"/>
    </row>
    <row r="180" spans="5:6">
      <c r="E180" s="393"/>
      <c r="F180" s="393"/>
    </row>
    <row r="181" spans="5:6">
      <c r="E181" s="393"/>
      <c r="F181" s="393"/>
    </row>
    <row r="182" spans="5:6">
      <c r="E182" s="393"/>
      <c r="F182" s="393"/>
    </row>
    <row r="183" spans="5:6">
      <c r="E183" s="393"/>
      <c r="F183" s="393"/>
    </row>
    <row r="184" spans="5:6">
      <c r="E184" s="393"/>
      <c r="F184" s="393"/>
    </row>
    <row r="185" spans="5:6">
      <c r="E185" s="393"/>
      <c r="F185" s="393"/>
    </row>
    <row r="186" spans="5:6">
      <c r="E186" s="393"/>
      <c r="F186" s="393"/>
    </row>
    <row r="187" spans="5:6">
      <c r="E187" s="393"/>
      <c r="F187" s="393"/>
    </row>
    <row r="188" spans="5:6">
      <c r="E188" s="393"/>
      <c r="F188" s="393"/>
    </row>
    <row r="189" spans="5:6">
      <c r="E189" s="393"/>
      <c r="F189" s="393"/>
    </row>
    <row r="190" spans="5:6">
      <c r="E190" s="393"/>
      <c r="F190" s="393"/>
    </row>
    <row r="191" spans="5:6">
      <c r="E191" s="393"/>
      <c r="F191" s="393"/>
    </row>
    <row r="192" spans="5:6">
      <c r="E192" s="393"/>
      <c r="F192" s="393"/>
    </row>
    <row r="193" spans="5:6">
      <c r="E193" s="393"/>
      <c r="F193" s="393"/>
    </row>
    <row r="194" spans="5:6">
      <c r="E194" s="393"/>
      <c r="F194" s="393"/>
    </row>
    <row r="195" spans="5:6">
      <c r="E195" s="393"/>
      <c r="F195" s="393"/>
    </row>
    <row r="196" spans="5:6">
      <c r="E196" s="393"/>
      <c r="F196" s="393"/>
    </row>
    <row r="197" spans="5:6">
      <c r="E197" s="393"/>
      <c r="F197" s="393"/>
    </row>
    <row r="198" spans="5:6">
      <c r="E198" s="393"/>
      <c r="F198" s="393"/>
    </row>
    <row r="199" spans="5:6">
      <c r="E199" s="393"/>
      <c r="F199" s="393"/>
    </row>
    <row r="200" spans="5:6">
      <c r="E200" s="393"/>
      <c r="F200" s="393"/>
    </row>
    <row r="201" spans="5:6">
      <c r="E201" s="393"/>
      <c r="F201" s="393"/>
    </row>
    <row r="202" spans="5:6">
      <c r="E202" s="393"/>
      <c r="F202" s="393"/>
    </row>
    <row r="203" spans="5:6">
      <c r="E203" s="393"/>
      <c r="F203" s="393"/>
    </row>
    <row r="204" spans="5:6">
      <c r="E204" s="393"/>
      <c r="F204" s="393"/>
    </row>
    <row r="205" spans="5:6">
      <c r="E205" s="393"/>
      <c r="F205" s="393"/>
    </row>
    <row r="206" spans="5:6">
      <c r="E206" s="393"/>
      <c r="F206" s="393"/>
    </row>
    <row r="207" spans="5:6">
      <c r="E207" s="393"/>
      <c r="F207" s="393"/>
    </row>
    <row r="208" spans="5:6">
      <c r="E208" s="393"/>
      <c r="F208" s="393"/>
    </row>
    <row r="209" spans="5:6">
      <c r="E209" s="393"/>
      <c r="F209" s="393"/>
    </row>
    <row r="210" spans="5:6">
      <c r="E210" s="393"/>
      <c r="F210" s="393"/>
    </row>
    <row r="211" spans="5:6">
      <c r="E211" s="393"/>
      <c r="F211" s="393"/>
    </row>
    <row r="212" spans="5:6">
      <c r="E212" s="393"/>
      <c r="F212" s="393"/>
    </row>
    <row r="213" spans="5:6">
      <c r="E213" s="393"/>
      <c r="F213" s="393"/>
    </row>
    <row r="214" spans="5:6">
      <c r="E214" s="393"/>
      <c r="F214" s="393"/>
    </row>
    <row r="215" spans="5:6">
      <c r="E215" s="393"/>
      <c r="F215" s="393"/>
    </row>
    <row r="216" spans="5:6">
      <c r="E216" s="393"/>
      <c r="F216" s="393"/>
    </row>
    <row r="217" spans="5:6">
      <c r="E217" s="393"/>
      <c r="F217" s="393"/>
    </row>
    <row r="218" spans="5:6">
      <c r="E218" s="393"/>
      <c r="F218" s="393"/>
    </row>
    <row r="219" spans="5:6">
      <c r="E219" s="393"/>
      <c r="F219" s="393"/>
    </row>
    <row r="220" spans="5:6">
      <c r="E220" s="393"/>
      <c r="F220" s="393"/>
    </row>
    <row r="221" spans="5:6">
      <c r="E221" s="393"/>
      <c r="F221" s="393"/>
    </row>
    <row r="222" spans="5:6">
      <c r="E222" s="393"/>
      <c r="F222" s="393"/>
    </row>
    <row r="223" spans="5:6">
      <c r="E223" s="393"/>
      <c r="F223" s="393"/>
    </row>
    <row r="224" spans="5:6">
      <c r="E224" s="393"/>
      <c r="F224" s="393"/>
    </row>
    <row r="225" spans="5:6">
      <c r="E225" s="393"/>
      <c r="F225" s="393"/>
    </row>
    <row r="226" spans="5:6">
      <c r="E226" s="393"/>
      <c r="F226" s="393"/>
    </row>
    <row r="227" spans="5:6">
      <c r="E227" s="393"/>
      <c r="F227" s="393"/>
    </row>
    <row r="228" spans="5:6">
      <c r="E228" s="393"/>
      <c r="F228" s="393"/>
    </row>
    <row r="229" spans="5:6">
      <c r="E229" s="393"/>
      <c r="F229" s="393"/>
    </row>
    <row r="230" spans="5:6">
      <c r="E230" s="393"/>
      <c r="F230" s="393"/>
    </row>
    <row r="231" spans="5:6">
      <c r="E231" s="393"/>
      <c r="F231" s="393"/>
    </row>
    <row r="232" spans="5:6">
      <c r="E232" s="393"/>
      <c r="F232" s="393"/>
    </row>
    <row r="233" spans="5:6">
      <c r="E233" s="393"/>
      <c r="F233" s="393"/>
    </row>
    <row r="234" spans="5:6">
      <c r="E234" s="393"/>
      <c r="F234" s="393"/>
    </row>
    <row r="235" spans="5:6">
      <c r="E235" s="393"/>
      <c r="F235" s="393"/>
    </row>
    <row r="236" spans="5:6">
      <c r="E236" s="393"/>
      <c r="F236" s="393"/>
    </row>
    <row r="237" spans="5:6">
      <c r="E237" s="393"/>
      <c r="F237" s="393"/>
    </row>
    <row r="238" spans="5:6">
      <c r="E238" s="393"/>
      <c r="F238" s="393"/>
    </row>
    <row r="239" spans="5:6">
      <c r="E239" s="393"/>
      <c r="F239" s="393"/>
    </row>
    <row r="240" spans="5:6">
      <c r="E240" s="393"/>
      <c r="F240" s="393"/>
    </row>
    <row r="241" spans="5:6">
      <c r="E241" s="393"/>
      <c r="F241" s="393"/>
    </row>
    <row r="242" spans="5:6">
      <c r="E242" s="393"/>
      <c r="F242" s="393"/>
    </row>
    <row r="243" spans="5:6">
      <c r="E243" s="393"/>
      <c r="F243" s="393"/>
    </row>
    <row r="244" spans="5:6">
      <c r="E244" s="393"/>
      <c r="F244" s="393"/>
    </row>
    <row r="245" spans="5:6">
      <c r="E245" s="393"/>
      <c r="F245" s="393"/>
    </row>
    <row r="246" spans="5:6">
      <c r="E246" s="393"/>
      <c r="F246" s="393"/>
    </row>
    <row r="247" spans="5:6">
      <c r="E247" s="393"/>
      <c r="F247" s="393"/>
    </row>
    <row r="248" spans="5:6">
      <c r="E248" s="393"/>
      <c r="F248" s="393"/>
    </row>
    <row r="249" spans="5:6">
      <c r="E249" s="393"/>
      <c r="F249" s="393"/>
    </row>
    <row r="250" spans="5:6">
      <c r="E250" s="393"/>
      <c r="F250" s="393"/>
    </row>
    <row r="251" spans="5:6">
      <c r="E251" s="393"/>
      <c r="F251" s="393"/>
    </row>
    <row r="252" spans="5:6">
      <c r="E252" s="393"/>
      <c r="F252" s="393"/>
    </row>
    <row r="253" spans="5:6">
      <c r="E253" s="393"/>
      <c r="F253" s="393"/>
    </row>
    <row r="254" spans="5:6">
      <c r="E254" s="393"/>
      <c r="F254" s="393"/>
    </row>
    <row r="255" spans="5:6">
      <c r="E255" s="393"/>
      <c r="F255" s="393"/>
    </row>
    <row r="256" spans="5:6">
      <c r="E256" s="393"/>
      <c r="F256" s="393"/>
    </row>
    <row r="257" spans="5:6">
      <c r="E257" s="393"/>
      <c r="F257" s="393"/>
    </row>
    <row r="258" spans="5:6">
      <c r="E258" s="393"/>
      <c r="F258" s="393"/>
    </row>
    <row r="259" spans="5:6">
      <c r="E259" s="393"/>
      <c r="F259" s="393"/>
    </row>
    <row r="260" spans="5:6">
      <c r="E260" s="393"/>
      <c r="F260" s="393"/>
    </row>
    <row r="261" spans="5:6">
      <c r="E261" s="393"/>
      <c r="F261" s="393"/>
    </row>
    <row r="262" spans="5:6">
      <c r="E262" s="393"/>
      <c r="F262" s="393"/>
    </row>
    <row r="263" spans="5:6">
      <c r="E263" s="393"/>
      <c r="F263" s="393"/>
    </row>
    <row r="264" spans="5:6">
      <c r="E264" s="393"/>
      <c r="F264" s="393"/>
    </row>
    <row r="265" spans="5:6">
      <c r="E265" s="393"/>
      <c r="F265" s="393"/>
    </row>
    <row r="266" spans="5:6">
      <c r="E266" s="393"/>
      <c r="F266" s="393"/>
    </row>
    <row r="267" spans="5:6">
      <c r="E267" s="393"/>
      <c r="F267" s="393"/>
    </row>
    <row r="268" spans="5:6">
      <c r="E268" s="393"/>
      <c r="F268" s="393"/>
    </row>
    <row r="269" spans="5:6">
      <c r="E269" s="393"/>
      <c r="F269" s="393"/>
    </row>
    <row r="270" spans="5:6">
      <c r="E270" s="393"/>
      <c r="F270" s="393"/>
    </row>
    <row r="271" spans="5:6">
      <c r="E271" s="393"/>
      <c r="F271" s="393"/>
    </row>
    <row r="272" spans="5:6">
      <c r="E272" s="393"/>
      <c r="F272" s="393"/>
    </row>
    <row r="273" spans="5:6">
      <c r="E273" s="393"/>
      <c r="F273" s="393"/>
    </row>
    <row r="274" spans="5:6">
      <c r="E274" s="393"/>
      <c r="F274" s="393"/>
    </row>
    <row r="275" spans="5:6">
      <c r="E275" s="393"/>
      <c r="F275" s="393"/>
    </row>
    <row r="276" spans="5:6">
      <c r="E276" s="393"/>
      <c r="F276" s="393"/>
    </row>
    <row r="277" spans="5:6">
      <c r="E277" s="393"/>
      <c r="F277" s="393"/>
    </row>
    <row r="278" spans="5:6">
      <c r="E278" s="393"/>
      <c r="F278" s="393"/>
    </row>
    <row r="279" spans="5:6">
      <c r="E279" s="393"/>
      <c r="F279" s="393"/>
    </row>
    <row r="280" spans="5:6">
      <c r="E280" s="393"/>
      <c r="F280" s="393"/>
    </row>
    <row r="281" spans="5:6">
      <c r="E281" s="393"/>
      <c r="F281" s="393"/>
    </row>
    <row r="282" spans="5:6">
      <c r="E282" s="393"/>
      <c r="F282" s="393"/>
    </row>
    <row r="283" spans="5:6">
      <c r="E283" s="393"/>
      <c r="F283" s="393"/>
    </row>
    <row r="284" spans="5:6">
      <c r="E284" s="393"/>
      <c r="F284" s="393"/>
    </row>
    <row r="285" spans="5:6">
      <c r="E285" s="393"/>
      <c r="F285" s="393"/>
    </row>
    <row r="286" spans="5:6">
      <c r="E286" s="393"/>
      <c r="F286" s="393"/>
    </row>
    <row r="287" spans="5:6">
      <c r="E287" s="393"/>
      <c r="F287" s="393"/>
    </row>
    <row r="288" spans="5:6">
      <c r="E288" s="393"/>
      <c r="F288" s="393"/>
    </row>
    <row r="289" spans="5:6">
      <c r="E289" s="393"/>
      <c r="F289" s="393"/>
    </row>
    <row r="290" spans="5:6">
      <c r="E290" s="393"/>
      <c r="F290" s="393"/>
    </row>
    <row r="291" spans="5:6">
      <c r="E291" s="393"/>
      <c r="F291" s="393"/>
    </row>
    <row r="292" spans="5:6">
      <c r="E292" s="393"/>
      <c r="F292" s="393"/>
    </row>
    <row r="293" spans="5:6">
      <c r="E293" s="393"/>
      <c r="F293" s="393"/>
    </row>
    <row r="294" spans="5:6">
      <c r="E294" s="393"/>
      <c r="F294" s="393"/>
    </row>
    <row r="295" spans="5:6">
      <c r="E295" s="393"/>
      <c r="F295" s="393"/>
    </row>
    <row r="296" spans="5:6">
      <c r="E296" s="393"/>
      <c r="F296" s="393"/>
    </row>
    <row r="297" spans="5:6">
      <c r="E297" s="393"/>
      <c r="F297" s="393"/>
    </row>
    <row r="298" spans="5:6">
      <c r="E298" s="393"/>
      <c r="F298" s="393"/>
    </row>
    <row r="299" spans="5:6">
      <c r="E299" s="393"/>
      <c r="F299" s="393"/>
    </row>
    <row r="300" spans="5:6">
      <c r="E300" s="393"/>
      <c r="F300" s="393"/>
    </row>
    <row r="301" spans="5:6">
      <c r="E301" s="393"/>
      <c r="F301" s="393"/>
    </row>
    <row r="302" spans="5:6">
      <c r="E302" s="393"/>
      <c r="F302" s="393"/>
    </row>
    <row r="303" spans="5:6">
      <c r="E303" s="393"/>
      <c r="F303" s="393"/>
    </row>
    <row r="304" spans="5:6">
      <c r="E304" s="393"/>
      <c r="F304" s="393"/>
    </row>
    <row r="305" spans="5:6">
      <c r="E305" s="393"/>
      <c r="F305" s="393"/>
    </row>
    <row r="306" spans="5:6">
      <c r="E306" s="393"/>
      <c r="F306" s="393"/>
    </row>
    <row r="307" spans="5:6">
      <c r="E307" s="393"/>
      <c r="F307" s="393"/>
    </row>
    <row r="308" spans="5:6">
      <c r="E308" s="393"/>
      <c r="F308" s="393"/>
    </row>
    <row r="309" spans="5:6">
      <c r="E309" s="393"/>
      <c r="F309" s="393"/>
    </row>
    <row r="310" spans="5:6">
      <c r="E310" s="393"/>
      <c r="F310" s="393"/>
    </row>
    <row r="311" spans="5:6">
      <c r="E311" s="393"/>
      <c r="F311" s="393"/>
    </row>
    <row r="312" spans="5:6">
      <c r="E312" s="393"/>
      <c r="F312" s="393"/>
    </row>
    <row r="313" spans="5:6">
      <c r="E313" s="393"/>
      <c r="F313" s="393"/>
    </row>
    <row r="314" spans="5:6">
      <c r="E314" s="393"/>
      <c r="F314" s="393"/>
    </row>
    <row r="315" spans="5:6">
      <c r="E315" s="393"/>
      <c r="F315" s="393"/>
    </row>
    <row r="316" spans="5:6">
      <c r="E316" s="393"/>
      <c r="F316" s="393"/>
    </row>
    <row r="317" spans="5:6">
      <c r="E317" s="393"/>
      <c r="F317" s="393"/>
    </row>
    <row r="318" spans="5:6">
      <c r="E318" s="393"/>
      <c r="F318" s="393"/>
    </row>
    <row r="319" spans="5:6">
      <c r="E319" s="393"/>
      <c r="F319" s="393"/>
    </row>
    <row r="320" spans="5:6">
      <c r="E320" s="393"/>
      <c r="F320" s="393"/>
    </row>
    <row r="321" spans="5:6">
      <c r="E321" s="393"/>
      <c r="F321" s="393"/>
    </row>
    <row r="322" spans="5:6">
      <c r="E322" s="393"/>
      <c r="F322" s="393"/>
    </row>
    <row r="323" spans="5:6">
      <c r="E323" s="393"/>
      <c r="F323" s="393"/>
    </row>
    <row r="324" spans="5:6">
      <c r="E324" s="393"/>
      <c r="F324" s="393"/>
    </row>
    <row r="325" spans="5:6">
      <c r="E325" s="393"/>
      <c r="F325" s="393"/>
    </row>
    <row r="326" spans="5:6">
      <c r="E326" s="393"/>
      <c r="F326" s="393"/>
    </row>
    <row r="327" spans="5:6">
      <c r="E327" s="393"/>
      <c r="F327" s="393"/>
    </row>
    <row r="328" spans="5:6">
      <c r="E328" s="393"/>
      <c r="F328" s="393"/>
    </row>
    <row r="329" spans="5:6">
      <c r="E329" s="393"/>
      <c r="F329" s="393"/>
    </row>
    <row r="330" spans="5:6">
      <c r="E330" s="393"/>
      <c r="F330" s="393"/>
    </row>
    <row r="331" spans="5:6">
      <c r="E331" s="393"/>
      <c r="F331" s="393"/>
    </row>
    <row r="332" spans="5:6">
      <c r="E332" s="393"/>
      <c r="F332" s="393"/>
    </row>
    <row r="333" spans="5:6">
      <c r="E333" s="393"/>
      <c r="F333" s="393"/>
    </row>
    <row r="334" spans="5:6">
      <c r="E334" s="393"/>
      <c r="F334" s="393"/>
    </row>
    <row r="335" spans="5:6">
      <c r="E335" s="393"/>
      <c r="F335" s="393"/>
    </row>
    <row r="336" spans="5:6">
      <c r="E336" s="393"/>
      <c r="F336" s="393"/>
    </row>
    <row r="337" spans="5:6">
      <c r="E337" s="393"/>
      <c r="F337" s="393"/>
    </row>
    <row r="338" spans="5:6">
      <c r="E338" s="393"/>
      <c r="F338" s="393"/>
    </row>
    <row r="339" spans="5:6">
      <c r="E339" s="393"/>
      <c r="F339" s="393"/>
    </row>
    <row r="340" spans="5:6">
      <c r="E340" s="393"/>
      <c r="F340" s="393"/>
    </row>
    <row r="341" spans="5:6">
      <c r="E341" s="393"/>
      <c r="F341" s="393"/>
    </row>
    <row r="342" spans="5:6">
      <c r="E342" s="393"/>
      <c r="F342" s="393"/>
    </row>
    <row r="343" spans="5:6">
      <c r="E343" s="393"/>
      <c r="F343" s="393"/>
    </row>
  </sheetData>
  <mergeCells count="116">
    <mergeCell ref="E85:F86"/>
    <mergeCell ref="E87:F88"/>
    <mergeCell ref="E66:E79"/>
    <mergeCell ref="F66:F79"/>
    <mergeCell ref="H66:H72"/>
    <mergeCell ref="BU66:BU79"/>
    <mergeCell ref="BV66:BV79"/>
    <mergeCell ref="BW66:BW79"/>
    <mergeCell ref="H73:H79"/>
    <mergeCell ref="BV59:BV65"/>
    <mergeCell ref="BW59:BW65"/>
    <mergeCell ref="BV38:BV51"/>
    <mergeCell ref="BW38:BW51"/>
    <mergeCell ref="H45:H51"/>
    <mergeCell ref="E52:E58"/>
    <mergeCell ref="G52:H58"/>
    <mergeCell ref="BU52:BU58"/>
    <mergeCell ref="BV52:BV58"/>
    <mergeCell ref="BW52:BW58"/>
    <mergeCell ref="F54:F55"/>
    <mergeCell ref="E38:E51"/>
    <mergeCell ref="F38:F51"/>
    <mergeCell ref="H38:H44"/>
    <mergeCell ref="BU38:BU51"/>
    <mergeCell ref="E59:E65"/>
    <mergeCell ref="F59:F65"/>
    <mergeCell ref="G59:H65"/>
    <mergeCell ref="BU59:BU65"/>
    <mergeCell ref="BV24:BV30"/>
    <mergeCell ref="BW24:BW30"/>
    <mergeCell ref="F26:F27"/>
    <mergeCell ref="E31:E37"/>
    <mergeCell ref="G31:G37"/>
    <mergeCell ref="BU31:BU37"/>
    <mergeCell ref="BV31:BV37"/>
    <mergeCell ref="BW31:BW37"/>
    <mergeCell ref="F33:F34"/>
    <mergeCell ref="E24:E30"/>
    <mergeCell ref="G24:G30"/>
    <mergeCell ref="BU24:BU30"/>
    <mergeCell ref="BW17:BW18"/>
    <mergeCell ref="E19:E20"/>
    <mergeCell ref="F19:F20"/>
    <mergeCell ref="G19:G20"/>
    <mergeCell ref="I19:I20"/>
    <mergeCell ref="BU19:BU20"/>
    <mergeCell ref="BV19:BV20"/>
    <mergeCell ref="BW19:BW20"/>
    <mergeCell ref="E17:E18"/>
    <mergeCell ref="F17:F18"/>
    <mergeCell ref="G17:G18"/>
    <mergeCell ref="I17:I18"/>
    <mergeCell ref="BU17:BU18"/>
    <mergeCell ref="BV17:BV18"/>
    <mergeCell ref="BV13:BV14"/>
    <mergeCell ref="BW13:BW14"/>
    <mergeCell ref="E15:E16"/>
    <mergeCell ref="F15:F16"/>
    <mergeCell ref="G15:H16"/>
    <mergeCell ref="I15:I16"/>
    <mergeCell ref="BU15:BU16"/>
    <mergeCell ref="BV15:BV16"/>
    <mergeCell ref="BW15:BW16"/>
    <mergeCell ref="E13:E14"/>
    <mergeCell ref="F13:F14"/>
    <mergeCell ref="G13:G14"/>
    <mergeCell ref="H13:H14"/>
    <mergeCell ref="I13:I14"/>
    <mergeCell ref="J13:K14"/>
    <mergeCell ref="BU13:BU14"/>
    <mergeCell ref="BV9:BV10"/>
    <mergeCell ref="BW9:BW10"/>
    <mergeCell ref="E11:E12"/>
    <mergeCell ref="F11:F12"/>
    <mergeCell ref="G11:G12"/>
    <mergeCell ref="I11:I12"/>
    <mergeCell ref="J11:K12"/>
    <mergeCell ref="BU11:BU12"/>
    <mergeCell ref="BV11:BV12"/>
    <mergeCell ref="BW11:BW12"/>
    <mergeCell ref="G9:G10"/>
    <mergeCell ref="I9:I10"/>
    <mergeCell ref="BU9:BU10"/>
    <mergeCell ref="BV5:BV6"/>
    <mergeCell ref="BW5:BW6"/>
    <mergeCell ref="E7:E8"/>
    <mergeCell ref="F7:F8"/>
    <mergeCell ref="G7:H8"/>
    <mergeCell ref="I7:I8"/>
    <mergeCell ref="BU7:BU8"/>
    <mergeCell ref="BV7:BV8"/>
    <mergeCell ref="BW7:BW8"/>
    <mergeCell ref="BU5:BU6"/>
    <mergeCell ref="A2:BS2"/>
    <mergeCell ref="B3:D4"/>
    <mergeCell ref="F3:F4"/>
    <mergeCell ref="G3:L3"/>
    <mergeCell ref="M3:M4"/>
    <mergeCell ref="AF3:AM3"/>
    <mergeCell ref="AO3:AV3"/>
    <mergeCell ref="AX3:BE3"/>
    <mergeCell ref="BG3:BN3"/>
    <mergeCell ref="BR3:BS3"/>
    <mergeCell ref="G4:H4"/>
    <mergeCell ref="I4:L4"/>
    <mergeCell ref="AQ22:AZ22"/>
    <mergeCell ref="A24:A80"/>
    <mergeCell ref="A5:A20"/>
    <mergeCell ref="E5:E6"/>
    <mergeCell ref="F5:F6"/>
    <mergeCell ref="G5:G6"/>
    <mergeCell ref="H5:H6"/>
    <mergeCell ref="I5:I6"/>
    <mergeCell ref="E9:E10"/>
    <mergeCell ref="F9:F10"/>
    <mergeCell ref="AF22:AO22"/>
  </mergeCells>
  <pageMargins left="0.75" right="0.75" top="1" bottom="1"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Scroll Bar 1">
              <controlPr defaultSize="0" autoPict="0">
                <anchor moveWithCells="1">
                  <from>
                    <xdr:col>3</xdr:col>
                    <xdr:colOff>60960</xdr:colOff>
                    <xdr:row>96</xdr:row>
                    <xdr:rowOff>0</xdr:rowOff>
                  </from>
                  <to>
                    <xdr:col>3</xdr:col>
                    <xdr:colOff>213360</xdr:colOff>
                    <xdr:row>98</xdr:row>
                    <xdr:rowOff>114300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3">
    <tabColor rgb="FFFFFF00"/>
  </sheetPr>
  <dimension ref="A1:BQ40"/>
  <sheetViews>
    <sheetView view="pageBreakPreview" zoomScale="85" zoomScaleNormal="100" zoomScaleSheetLayoutView="85" workbookViewId="0">
      <selection activeCell="E9" sqref="E9"/>
    </sheetView>
  </sheetViews>
  <sheetFormatPr baseColWidth="10" defaultRowHeight="13.2"/>
  <cols>
    <col min="1" max="1" width="6.109375" style="43" customWidth="1"/>
    <col min="2" max="2" width="10.44140625" style="43" customWidth="1"/>
    <col min="3" max="3" width="18.109375" style="43" bestFit="1" customWidth="1"/>
    <col min="4" max="5" width="11.44140625" style="43" customWidth="1"/>
    <col min="6" max="6" width="32.88671875" style="43" customWidth="1"/>
    <col min="7" max="7" width="16.88671875" style="43" customWidth="1"/>
    <col min="8" max="8" width="15.5546875" style="43" customWidth="1"/>
    <col min="9" max="15" width="11.44140625" style="43" customWidth="1"/>
    <col min="16" max="16" width="25.33203125" style="43" customWidth="1"/>
    <col min="17" max="17" width="20.5546875" style="43" customWidth="1"/>
    <col min="18" max="18" width="13.44140625" style="43" customWidth="1"/>
    <col min="19" max="256" width="11.44140625" style="43"/>
    <col min="257" max="257" width="6.109375" style="43" customWidth="1"/>
    <col min="258" max="258" width="10.44140625" style="43" customWidth="1"/>
    <col min="259" max="259" width="18.109375" style="43" bestFit="1" customWidth="1"/>
    <col min="260" max="261" width="11.44140625" style="43" customWidth="1"/>
    <col min="262" max="262" width="32.88671875" style="43" customWidth="1"/>
    <col min="263" max="263" width="16.88671875" style="43" customWidth="1"/>
    <col min="264" max="264" width="15.5546875" style="43" customWidth="1"/>
    <col min="265" max="271" width="11.44140625" style="43" customWidth="1"/>
    <col min="272" max="272" width="25.33203125" style="43" customWidth="1"/>
    <col min="273" max="273" width="20.5546875" style="43" customWidth="1"/>
    <col min="274" max="274" width="13.44140625" style="43" customWidth="1"/>
    <col min="275" max="512" width="11.44140625" style="43"/>
    <col min="513" max="513" width="6.109375" style="43" customWidth="1"/>
    <col min="514" max="514" width="10.44140625" style="43" customWidth="1"/>
    <col min="515" max="515" width="18.109375" style="43" bestFit="1" customWidth="1"/>
    <col min="516" max="517" width="11.44140625" style="43" customWidth="1"/>
    <col min="518" max="518" width="32.88671875" style="43" customWidth="1"/>
    <col min="519" max="519" width="16.88671875" style="43" customWidth="1"/>
    <col min="520" max="520" width="15.5546875" style="43" customWidth="1"/>
    <col min="521" max="527" width="11.44140625" style="43" customWidth="1"/>
    <col min="528" max="528" width="25.33203125" style="43" customWidth="1"/>
    <col min="529" max="529" width="20.5546875" style="43" customWidth="1"/>
    <col min="530" max="530" width="13.44140625" style="43" customWidth="1"/>
    <col min="531" max="768" width="11.44140625" style="43"/>
    <col min="769" max="769" width="6.109375" style="43" customWidth="1"/>
    <col min="770" max="770" width="10.44140625" style="43" customWidth="1"/>
    <col min="771" max="771" width="18.109375" style="43" bestFit="1" customWidth="1"/>
    <col min="772" max="773" width="11.44140625" style="43" customWidth="1"/>
    <col min="774" max="774" width="32.88671875" style="43" customWidth="1"/>
    <col min="775" max="775" width="16.88671875" style="43" customWidth="1"/>
    <col min="776" max="776" width="15.5546875" style="43" customWidth="1"/>
    <col min="777" max="783" width="11.44140625" style="43" customWidth="1"/>
    <col min="784" max="784" width="25.33203125" style="43" customWidth="1"/>
    <col min="785" max="785" width="20.5546875" style="43" customWidth="1"/>
    <col min="786" max="786" width="13.44140625" style="43" customWidth="1"/>
    <col min="787" max="1024" width="11.44140625" style="43"/>
    <col min="1025" max="1025" width="6.109375" style="43" customWidth="1"/>
    <col min="1026" max="1026" width="10.44140625" style="43" customWidth="1"/>
    <col min="1027" max="1027" width="18.109375" style="43" bestFit="1" customWidth="1"/>
    <col min="1028" max="1029" width="11.44140625" style="43" customWidth="1"/>
    <col min="1030" max="1030" width="32.88671875" style="43" customWidth="1"/>
    <col min="1031" max="1031" width="16.88671875" style="43" customWidth="1"/>
    <col min="1032" max="1032" width="15.5546875" style="43" customWidth="1"/>
    <col min="1033" max="1039" width="11.44140625" style="43" customWidth="1"/>
    <col min="1040" max="1040" width="25.33203125" style="43" customWidth="1"/>
    <col min="1041" max="1041" width="20.5546875" style="43" customWidth="1"/>
    <col min="1042" max="1042" width="13.44140625" style="43" customWidth="1"/>
    <col min="1043" max="1280" width="11.44140625" style="43"/>
    <col min="1281" max="1281" width="6.109375" style="43" customWidth="1"/>
    <col min="1282" max="1282" width="10.44140625" style="43" customWidth="1"/>
    <col min="1283" max="1283" width="18.109375" style="43" bestFit="1" customWidth="1"/>
    <col min="1284" max="1285" width="11.44140625" style="43" customWidth="1"/>
    <col min="1286" max="1286" width="32.88671875" style="43" customWidth="1"/>
    <col min="1287" max="1287" width="16.88671875" style="43" customWidth="1"/>
    <col min="1288" max="1288" width="15.5546875" style="43" customWidth="1"/>
    <col min="1289" max="1295" width="11.44140625" style="43" customWidth="1"/>
    <col min="1296" max="1296" width="25.33203125" style="43" customWidth="1"/>
    <col min="1297" max="1297" width="20.5546875" style="43" customWidth="1"/>
    <col min="1298" max="1298" width="13.44140625" style="43" customWidth="1"/>
    <col min="1299" max="1536" width="11.44140625" style="43"/>
    <col min="1537" max="1537" width="6.109375" style="43" customWidth="1"/>
    <col min="1538" max="1538" width="10.44140625" style="43" customWidth="1"/>
    <col min="1539" max="1539" width="18.109375" style="43" bestFit="1" customWidth="1"/>
    <col min="1540" max="1541" width="11.44140625" style="43" customWidth="1"/>
    <col min="1542" max="1542" width="32.88671875" style="43" customWidth="1"/>
    <col min="1543" max="1543" width="16.88671875" style="43" customWidth="1"/>
    <col min="1544" max="1544" width="15.5546875" style="43" customWidth="1"/>
    <col min="1545" max="1551" width="11.44140625" style="43" customWidth="1"/>
    <col min="1552" max="1552" width="25.33203125" style="43" customWidth="1"/>
    <col min="1553" max="1553" width="20.5546875" style="43" customWidth="1"/>
    <col min="1554" max="1554" width="13.44140625" style="43" customWidth="1"/>
    <col min="1555" max="1792" width="11.44140625" style="43"/>
    <col min="1793" max="1793" width="6.109375" style="43" customWidth="1"/>
    <col min="1794" max="1794" width="10.44140625" style="43" customWidth="1"/>
    <col min="1795" max="1795" width="18.109375" style="43" bestFit="1" customWidth="1"/>
    <col min="1796" max="1797" width="11.44140625" style="43" customWidth="1"/>
    <col min="1798" max="1798" width="32.88671875" style="43" customWidth="1"/>
    <col min="1799" max="1799" width="16.88671875" style="43" customWidth="1"/>
    <col min="1800" max="1800" width="15.5546875" style="43" customWidth="1"/>
    <col min="1801" max="1807" width="11.44140625" style="43" customWidth="1"/>
    <col min="1808" max="1808" width="25.33203125" style="43" customWidth="1"/>
    <col min="1809" max="1809" width="20.5546875" style="43" customWidth="1"/>
    <col min="1810" max="1810" width="13.44140625" style="43" customWidth="1"/>
    <col min="1811" max="2048" width="11.44140625" style="43"/>
    <col min="2049" max="2049" width="6.109375" style="43" customWidth="1"/>
    <col min="2050" max="2050" width="10.44140625" style="43" customWidth="1"/>
    <col min="2051" max="2051" width="18.109375" style="43" bestFit="1" customWidth="1"/>
    <col min="2052" max="2053" width="11.44140625" style="43" customWidth="1"/>
    <col min="2054" max="2054" width="32.88671875" style="43" customWidth="1"/>
    <col min="2055" max="2055" width="16.88671875" style="43" customWidth="1"/>
    <col min="2056" max="2056" width="15.5546875" style="43" customWidth="1"/>
    <col min="2057" max="2063" width="11.44140625" style="43" customWidth="1"/>
    <col min="2064" max="2064" width="25.33203125" style="43" customWidth="1"/>
    <col min="2065" max="2065" width="20.5546875" style="43" customWidth="1"/>
    <col min="2066" max="2066" width="13.44140625" style="43" customWidth="1"/>
    <col min="2067" max="2304" width="11.44140625" style="43"/>
    <col min="2305" max="2305" width="6.109375" style="43" customWidth="1"/>
    <col min="2306" max="2306" width="10.44140625" style="43" customWidth="1"/>
    <col min="2307" max="2307" width="18.109375" style="43" bestFit="1" customWidth="1"/>
    <col min="2308" max="2309" width="11.44140625" style="43" customWidth="1"/>
    <col min="2310" max="2310" width="32.88671875" style="43" customWidth="1"/>
    <col min="2311" max="2311" width="16.88671875" style="43" customWidth="1"/>
    <col min="2312" max="2312" width="15.5546875" style="43" customWidth="1"/>
    <col min="2313" max="2319" width="11.44140625" style="43" customWidth="1"/>
    <col min="2320" max="2320" width="25.33203125" style="43" customWidth="1"/>
    <col min="2321" max="2321" width="20.5546875" style="43" customWidth="1"/>
    <col min="2322" max="2322" width="13.44140625" style="43" customWidth="1"/>
    <col min="2323" max="2560" width="11.44140625" style="43"/>
    <col min="2561" max="2561" width="6.109375" style="43" customWidth="1"/>
    <col min="2562" max="2562" width="10.44140625" style="43" customWidth="1"/>
    <col min="2563" max="2563" width="18.109375" style="43" bestFit="1" customWidth="1"/>
    <col min="2564" max="2565" width="11.44140625" style="43" customWidth="1"/>
    <col min="2566" max="2566" width="32.88671875" style="43" customWidth="1"/>
    <col min="2567" max="2567" width="16.88671875" style="43" customWidth="1"/>
    <col min="2568" max="2568" width="15.5546875" style="43" customWidth="1"/>
    <col min="2569" max="2575" width="11.44140625" style="43" customWidth="1"/>
    <col min="2576" max="2576" width="25.33203125" style="43" customWidth="1"/>
    <col min="2577" max="2577" width="20.5546875" style="43" customWidth="1"/>
    <col min="2578" max="2578" width="13.44140625" style="43" customWidth="1"/>
    <col min="2579" max="2816" width="11.44140625" style="43"/>
    <col min="2817" max="2817" width="6.109375" style="43" customWidth="1"/>
    <col min="2818" max="2818" width="10.44140625" style="43" customWidth="1"/>
    <col min="2819" max="2819" width="18.109375" style="43" bestFit="1" customWidth="1"/>
    <col min="2820" max="2821" width="11.44140625" style="43" customWidth="1"/>
    <col min="2822" max="2822" width="32.88671875" style="43" customWidth="1"/>
    <col min="2823" max="2823" width="16.88671875" style="43" customWidth="1"/>
    <col min="2824" max="2824" width="15.5546875" style="43" customWidth="1"/>
    <col min="2825" max="2831" width="11.44140625" style="43" customWidth="1"/>
    <col min="2832" max="2832" width="25.33203125" style="43" customWidth="1"/>
    <col min="2833" max="2833" width="20.5546875" style="43" customWidth="1"/>
    <col min="2834" max="2834" width="13.44140625" style="43" customWidth="1"/>
    <col min="2835" max="3072" width="11.44140625" style="43"/>
    <col min="3073" max="3073" width="6.109375" style="43" customWidth="1"/>
    <col min="3074" max="3074" width="10.44140625" style="43" customWidth="1"/>
    <col min="3075" max="3075" width="18.109375" style="43" bestFit="1" customWidth="1"/>
    <col min="3076" max="3077" width="11.44140625" style="43" customWidth="1"/>
    <col min="3078" max="3078" width="32.88671875" style="43" customWidth="1"/>
    <col min="3079" max="3079" width="16.88671875" style="43" customWidth="1"/>
    <col min="3080" max="3080" width="15.5546875" style="43" customWidth="1"/>
    <col min="3081" max="3087" width="11.44140625" style="43" customWidth="1"/>
    <col min="3088" max="3088" width="25.33203125" style="43" customWidth="1"/>
    <col min="3089" max="3089" width="20.5546875" style="43" customWidth="1"/>
    <col min="3090" max="3090" width="13.44140625" style="43" customWidth="1"/>
    <col min="3091" max="3328" width="11.44140625" style="43"/>
    <col min="3329" max="3329" width="6.109375" style="43" customWidth="1"/>
    <col min="3330" max="3330" width="10.44140625" style="43" customWidth="1"/>
    <col min="3331" max="3331" width="18.109375" style="43" bestFit="1" customWidth="1"/>
    <col min="3332" max="3333" width="11.44140625" style="43" customWidth="1"/>
    <col min="3334" max="3334" width="32.88671875" style="43" customWidth="1"/>
    <col min="3335" max="3335" width="16.88671875" style="43" customWidth="1"/>
    <col min="3336" max="3336" width="15.5546875" style="43" customWidth="1"/>
    <col min="3337" max="3343" width="11.44140625" style="43" customWidth="1"/>
    <col min="3344" max="3344" width="25.33203125" style="43" customWidth="1"/>
    <col min="3345" max="3345" width="20.5546875" style="43" customWidth="1"/>
    <col min="3346" max="3346" width="13.44140625" style="43" customWidth="1"/>
    <col min="3347" max="3584" width="11.44140625" style="43"/>
    <col min="3585" max="3585" width="6.109375" style="43" customWidth="1"/>
    <col min="3586" max="3586" width="10.44140625" style="43" customWidth="1"/>
    <col min="3587" max="3587" width="18.109375" style="43" bestFit="1" customWidth="1"/>
    <col min="3588" max="3589" width="11.44140625" style="43" customWidth="1"/>
    <col min="3590" max="3590" width="32.88671875" style="43" customWidth="1"/>
    <col min="3591" max="3591" width="16.88671875" style="43" customWidth="1"/>
    <col min="3592" max="3592" width="15.5546875" style="43" customWidth="1"/>
    <col min="3593" max="3599" width="11.44140625" style="43" customWidth="1"/>
    <col min="3600" max="3600" width="25.33203125" style="43" customWidth="1"/>
    <col min="3601" max="3601" width="20.5546875" style="43" customWidth="1"/>
    <col min="3602" max="3602" width="13.44140625" style="43" customWidth="1"/>
    <col min="3603" max="3840" width="11.44140625" style="43"/>
    <col min="3841" max="3841" width="6.109375" style="43" customWidth="1"/>
    <col min="3842" max="3842" width="10.44140625" style="43" customWidth="1"/>
    <col min="3843" max="3843" width="18.109375" style="43" bestFit="1" customWidth="1"/>
    <col min="3844" max="3845" width="11.44140625" style="43" customWidth="1"/>
    <col min="3846" max="3846" width="32.88671875" style="43" customWidth="1"/>
    <col min="3847" max="3847" width="16.88671875" style="43" customWidth="1"/>
    <col min="3848" max="3848" width="15.5546875" style="43" customWidth="1"/>
    <col min="3849" max="3855" width="11.44140625" style="43" customWidth="1"/>
    <col min="3856" max="3856" width="25.33203125" style="43" customWidth="1"/>
    <col min="3857" max="3857" width="20.5546875" style="43" customWidth="1"/>
    <col min="3858" max="3858" width="13.44140625" style="43" customWidth="1"/>
    <col min="3859" max="4096" width="11.44140625" style="43"/>
    <col min="4097" max="4097" width="6.109375" style="43" customWidth="1"/>
    <col min="4098" max="4098" width="10.44140625" style="43" customWidth="1"/>
    <col min="4099" max="4099" width="18.109375" style="43" bestFit="1" customWidth="1"/>
    <col min="4100" max="4101" width="11.44140625" style="43" customWidth="1"/>
    <col min="4102" max="4102" width="32.88671875" style="43" customWidth="1"/>
    <col min="4103" max="4103" width="16.88671875" style="43" customWidth="1"/>
    <col min="4104" max="4104" width="15.5546875" style="43" customWidth="1"/>
    <col min="4105" max="4111" width="11.44140625" style="43" customWidth="1"/>
    <col min="4112" max="4112" width="25.33203125" style="43" customWidth="1"/>
    <col min="4113" max="4113" width="20.5546875" style="43" customWidth="1"/>
    <col min="4114" max="4114" width="13.44140625" style="43" customWidth="1"/>
    <col min="4115" max="4352" width="11.44140625" style="43"/>
    <col min="4353" max="4353" width="6.109375" style="43" customWidth="1"/>
    <col min="4354" max="4354" width="10.44140625" style="43" customWidth="1"/>
    <col min="4355" max="4355" width="18.109375" style="43" bestFit="1" customWidth="1"/>
    <col min="4356" max="4357" width="11.44140625" style="43" customWidth="1"/>
    <col min="4358" max="4358" width="32.88671875" style="43" customWidth="1"/>
    <col min="4359" max="4359" width="16.88671875" style="43" customWidth="1"/>
    <col min="4360" max="4360" width="15.5546875" style="43" customWidth="1"/>
    <col min="4361" max="4367" width="11.44140625" style="43" customWidth="1"/>
    <col min="4368" max="4368" width="25.33203125" style="43" customWidth="1"/>
    <col min="4369" max="4369" width="20.5546875" style="43" customWidth="1"/>
    <col min="4370" max="4370" width="13.44140625" style="43" customWidth="1"/>
    <col min="4371" max="4608" width="11.44140625" style="43"/>
    <col min="4609" max="4609" width="6.109375" style="43" customWidth="1"/>
    <col min="4610" max="4610" width="10.44140625" style="43" customWidth="1"/>
    <col min="4611" max="4611" width="18.109375" style="43" bestFit="1" customWidth="1"/>
    <col min="4612" max="4613" width="11.44140625" style="43" customWidth="1"/>
    <col min="4614" max="4614" width="32.88671875" style="43" customWidth="1"/>
    <col min="4615" max="4615" width="16.88671875" style="43" customWidth="1"/>
    <col min="4616" max="4616" width="15.5546875" style="43" customWidth="1"/>
    <col min="4617" max="4623" width="11.44140625" style="43" customWidth="1"/>
    <col min="4624" max="4624" width="25.33203125" style="43" customWidth="1"/>
    <col min="4625" max="4625" width="20.5546875" style="43" customWidth="1"/>
    <col min="4626" max="4626" width="13.44140625" style="43" customWidth="1"/>
    <col min="4627" max="4864" width="11.44140625" style="43"/>
    <col min="4865" max="4865" width="6.109375" style="43" customWidth="1"/>
    <col min="4866" max="4866" width="10.44140625" style="43" customWidth="1"/>
    <col min="4867" max="4867" width="18.109375" style="43" bestFit="1" customWidth="1"/>
    <col min="4868" max="4869" width="11.44140625" style="43" customWidth="1"/>
    <col min="4870" max="4870" width="32.88671875" style="43" customWidth="1"/>
    <col min="4871" max="4871" width="16.88671875" style="43" customWidth="1"/>
    <col min="4872" max="4872" width="15.5546875" style="43" customWidth="1"/>
    <col min="4873" max="4879" width="11.44140625" style="43" customWidth="1"/>
    <col min="4880" max="4880" width="25.33203125" style="43" customWidth="1"/>
    <col min="4881" max="4881" width="20.5546875" style="43" customWidth="1"/>
    <col min="4882" max="4882" width="13.44140625" style="43" customWidth="1"/>
    <col min="4883" max="5120" width="11.44140625" style="43"/>
    <col min="5121" max="5121" width="6.109375" style="43" customWidth="1"/>
    <col min="5122" max="5122" width="10.44140625" style="43" customWidth="1"/>
    <col min="5123" max="5123" width="18.109375" style="43" bestFit="1" customWidth="1"/>
    <col min="5124" max="5125" width="11.44140625" style="43" customWidth="1"/>
    <col min="5126" max="5126" width="32.88671875" style="43" customWidth="1"/>
    <col min="5127" max="5127" width="16.88671875" style="43" customWidth="1"/>
    <col min="5128" max="5128" width="15.5546875" style="43" customWidth="1"/>
    <col min="5129" max="5135" width="11.44140625" style="43" customWidth="1"/>
    <col min="5136" max="5136" width="25.33203125" style="43" customWidth="1"/>
    <col min="5137" max="5137" width="20.5546875" style="43" customWidth="1"/>
    <col min="5138" max="5138" width="13.44140625" style="43" customWidth="1"/>
    <col min="5139" max="5376" width="11.44140625" style="43"/>
    <col min="5377" max="5377" width="6.109375" style="43" customWidth="1"/>
    <col min="5378" max="5378" width="10.44140625" style="43" customWidth="1"/>
    <col min="5379" max="5379" width="18.109375" style="43" bestFit="1" customWidth="1"/>
    <col min="5380" max="5381" width="11.44140625" style="43" customWidth="1"/>
    <col min="5382" max="5382" width="32.88671875" style="43" customWidth="1"/>
    <col min="5383" max="5383" width="16.88671875" style="43" customWidth="1"/>
    <col min="5384" max="5384" width="15.5546875" style="43" customWidth="1"/>
    <col min="5385" max="5391" width="11.44140625" style="43" customWidth="1"/>
    <col min="5392" max="5392" width="25.33203125" style="43" customWidth="1"/>
    <col min="5393" max="5393" width="20.5546875" style="43" customWidth="1"/>
    <col min="5394" max="5394" width="13.44140625" style="43" customWidth="1"/>
    <col min="5395" max="5632" width="11.44140625" style="43"/>
    <col min="5633" max="5633" width="6.109375" style="43" customWidth="1"/>
    <col min="5634" max="5634" width="10.44140625" style="43" customWidth="1"/>
    <col min="5635" max="5635" width="18.109375" style="43" bestFit="1" customWidth="1"/>
    <col min="5636" max="5637" width="11.44140625" style="43" customWidth="1"/>
    <col min="5638" max="5638" width="32.88671875" style="43" customWidth="1"/>
    <col min="5639" max="5639" width="16.88671875" style="43" customWidth="1"/>
    <col min="5640" max="5640" width="15.5546875" style="43" customWidth="1"/>
    <col min="5641" max="5647" width="11.44140625" style="43" customWidth="1"/>
    <col min="5648" max="5648" width="25.33203125" style="43" customWidth="1"/>
    <col min="5649" max="5649" width="20.5546875" style="43" customWidth="1"/>
    <col min="5650" max="5650" width="13.44140625" style="43" customWidth="1"/>
    <col min="5651" max="5888" width="11.44140625" style="43"/>
    <col min="5889" max="5889" width="6.109375" style="43" customWidth="1"/>
    <col min="5890" max="5890" width="10.44140625" style="43" customWidth="1"/>
    <col min="5891" max="5891" width="18.109375" style="43" bestFit="1" customWidth="1"/>
    <col min="5892" max="5893" width="11.44140625" style="43" customWidth="1"/>
    <col min="5894" max="5894" width="32.88671875" style="43" customWidth="1"/>
    <col min="5895" max="5895" width="16.88671875" style="43" customWidth="1"/>
    <col min="5896" max="5896" width="15.5546875" style="43" customWidth="1"/>
    <col min="5897" max="5903" width="11.44140625" style="43" customWidth="1"/>
    <col min="5904" max="5904" width="25.33203125" style="43" customWidth="1"/>
    <col min="5905" max="5905" width="20.5546875" style="43" customWidth="1"/>
    <col min="5906" max="5906" width="13.44140625" style="43" customWidth="1"/>
    <col min="5907" max="6144" width="11.44140625" style="43"/>
    <col min="6145" max="6145" width="6.109375" style="43" customWidth="1"/>
    <col min="6146" max="6146" width="10.44140625" style="43" customWidth="1"/>
    <col min="6147" max="6147" width="18.109375" style="43" bestFit="1" customWidth="1"/>
    <col min="6148" max="6149" width="11.44140625" style="43" customWidth="1"/>
    <col min="6150" max="6150" width="32.88671875" style="43" customWidth="1"/>
    <col min="6151" max="6151" width="16.88671875" style="43" customWidth="1"/>
    <col min="6152" max="6152" width="15.5546875" style="43" customWidth="1"/>
    <col min="6153" max="6159" width="11.44140625" style="43" customWidth="1"/>
    <col min="6160" max="6160" width="25.33203125" style="43" customWidth="1"/>
    <col min="6161" max="6161" width="20.5546875" style="43" customWidth="1"/>
    <col min="6162" max="6162" width="13.44140625" style="43" customWidth="1"/>
    <col min="6163" max="6400" width="11.44140625" style="43"/>
    <col min="6401" max="6401" width="6.109375" style="43" customWidth="1"/>
    <col min="6402" max="6402" width="10.44140625" style="43" customWidth="1"/>
    <col min="6403" max="6403" width="18.109375" style="43" bestFit="1" customWidth="1"/>
    <col min="6404" max="6405" width="11.44140625" style="43" customWidth="1"/>
    <col min="6406" max="6406" width="32.88671875" style="43" customWidth="1"/>
    <col min="6407" max="6407" width="16.88671875" style="43" customWidth="1"/>
    <col min="6408" max="6408" width="15.5546875" style="43" customWidth="1"/>
    <col min="6409" max="6415" width="11.44140625" style="43" customWidth="1"/>
    <col min="6416" max="6416" width="25.33203125" style="43" customWidth="1"/>
    <col min="6417" max="6417" width="20.5546875" style="43" customWidth="1"/>
    <col min="6418" max="6418" width="13.44140625" style="43" customWidth="1"/>
    <col min="6419" max="6656" width="11.44140625" style="43"/>
    <col min="6657" max="6657" width="6.109375" style="43" customWidth="1"/>
    <col min="6658" max="6658" width="10.44140625" style="43" customWidth="1"/>
    <col min="6659" max="6659" width="18.109375" style="43" bestFit="1" customWidth="1"/>
    <col min="6660" max="6661" width="11.44140625" style="43" customWidth="1"/>
    <col min="6662" max="6662" width="32.88671875" style="43" customWidth="1"/>
    <col min="6663" max="6663" width="16.88671875" style="43" customWidth="1"/>
    <col min="6664" max="6664" width="15.5546875" style="43" customWidth="1"/>
    <col min="6665" max="6671" width="11.44140625" style="43" customWidth="1"/>
    <col min="6672" max="6672" width="25.33203125" style="43" customWidth="1"/>
    <col min="6673" max="6673" width="20.5546875" style="43" customWidth="1"/>
    <col min="6674" max="6674" width="13.44140625" style="43" customWidth="1"/>
    <col min="6675" max="6912" width="11.44140625" style="43"/>
    <col min="6913" max="6913" width="6.109375" style="43" customWidth="1"/>
    <col min="6914" max="6914" width="10.44140625" style="43" customWidth="1"/>
    <col min="6915" max="6915" width="18.109375" style="43" bestFit="1" customWidth="1"/>
    <col min="6916" max="6917" width="11.44140625" style="43" customWidth="1"/>
    <col min="6918" max="6918" width="32.88671875" style="43" customWidth="1"/>
    <col min="6919" max="6919" width="16.88671875" style="43" customWidth="1"/>
    <col min="6920" max="6920" width="15.5546875" style="43" customWidth="1"/>
    <col min="6921" max="6927" width="11.44140625" style="43" customWidth="1"/>
    <col min="6928" max="6928" width="25.33203125" style="43" customWidth="1"/>
    <col min="6929" max="6929" width="20.5546875" style="43" customWidth="1"/>
    <col min="6930" max="6930" width="13.44140625" style="43" customWidth="1"/>
    <col min="6931" max="7168" width="11.44140625" style="43"/>
    <col min="7169" max="7169" width="6.109375" style="43" customWidth="1"/>
    <col min="7170" max="7170" width="10.44140625" style="43" customWidth="1"/>
    <col min="7171" max="7171" width="18.109375" style="43" bestFit="1" customWidth="1"/>
    <col min="7172" max="7173" width="11.44140625" style="43" customWidth="1"/>
    <col min="7174" max="7174" width="32.88671875" style="43" customWidth="1"/>
    <col min="7175" max="7175" width="16.88671875" style="43" customWidth="1"/>
    <col min="7176" max="7176" width="15.5546875" style="43" customWidth="1"/>
    <col min="7177" max="7183" width="11.44140625" style="43" customWidth="1"/>
    <col min="7184" max="7184" width="25.33203125" style="43" customWidth="1"/>
    <col min="7185" max="7185" width="20.5546875" style="43" customWidth="1"/>
    <col min="7186" max="7186" width="13.44140625" style="43" customWidth="1"/>
    <col min="7187" max="7424" width="11.44140625" style="43"/>
    <col min="7425" max="7425" width="6.109375" style="43" customWidth="1"/>
    <col min="7426" max="7426" width="10.44140625" style="43" customWidth="1"/>
    <col min="7427" max="7427" width="18.109375" style="43" bestFit="1" customWidth="1"/>
    <col min="7428" max="7429" width="11.44140625" style="43" customWidth="1"/>
    <col min="7430" max="7430" width="32.88671875" style="43" customWidth="1"/>
    <col min="7431" max="7431" width="16.88671875" style="43" customWidth="1"/>
    <col min="7432" max="7432" width="15.5546875" style="43" customWidth="1"/>
    <col min="7433" max="7439" width="11.44140625" style="43" customWidth="1"/>
    <col min="7440" max="7440" width="25.33203125" style="43" customWidth="1"/>
    <col min="7441" max="7441" width="20.5546875" style="43" customWidth="1"/>
    <col min="7442" max="7442" width="13.44140625" style="43" customWidth="1"/>
    <col min="7443" max="7680" width="11.44140625" style="43"/>
    <col min="7681" max="7681" width="6.109375" style="43" customWidth="1"/>
    <col min="7682" max="7682" width="10.44140625" style="43" customWidth="1"/>
    <col min="7683" max="7683" width="18.109375" style="43" bestFit="1" customWidth="1"/>
    <col min="7684" max="7685" width="11.44140625" style="43" customWidth="1"/>
    <col min="7686" max="7686" width="32.88671875" style="43" customWidth="1"/>
    <col min="7687" max="7687" width="16.88671875" style="43" customWidth="1"/>
    <col min="7688" max="7688" width="15.5546875" style="43" customWidth="1"/>
    <col min="7689" max="7695" width="11.44140625" style="43" customWidth="1"/>
    <col min="7696" max="7696" width="25.33203125" style="43" customWidth="1"/>
    <col min="7697" max="7697" width="20.5546875" style="43" customWidth="1"/>
    <col min="7698" max="7698" width="13.44140625" style="43" customWidth="1"/>
    <col min="7699" max="7936" width="11.44140625" style="43"/>
    <col min="7937" max="7937" width="6.109375" style="43" customWidth="1"/>
    <col min="7938" max="7938" width="10.44140625" style="43" customWidth="1"/>
    <col min="7939" max="7939" width="18.109375" style="43" bestFit="1" customWidth="1"/>
    <col min="7940" max="7941" width="11.44140625" style="43" customWidth="1"/>
    <col min="7942" max="7942" width="32.88671875" style="43" customWidth="1"/>
    <col min="7943" max="7943" width="16.88671875" style="43" customWidth="1"/>
    <col min="7944" max="7944" width="15.5546875" style="43" customWidth="1"/>
    <col min="7945" max="7951" width="11.44140625" style="43" customWidth="1"/>
    <col min="7952" max="7952" width="25.33203125" style="43" customWidth="1"/>
    <col min="7953" max="7953" width="20.5546875" style="43" customWidth="1"/>
    <col min="7954" max="7954" width="13.44140625" style="43" customWidth="1"/>
    <col min="7955" max="8192" width="11.44140625" style="43"/>
    <col min="8193" max="8193" width="6.109375" style="43" customWidth="1"/>
    <col min="8194" max="8194" width="10.44140625" style="43" customWidth="1"/>
    <col min="8195" max="8195" width="18.109375" style="43" bestFit="1" customWidth="1"/>
    <col min="8196" max="8197" width="11.44140625" style="43" customWidth="1"/>
    <col min="8198" max="8198" width="32.88671875" style="43" customWidth="1"/>
    <col min="8199" max="8199" width="16.88671875" style="43" customWidth="1"/>
    <col min="8200" max="8200" width="15.5546875" style="43" customWidth="1"/>
    <col min="8201" max="8207" width="11.44140625" style="43" customWidth="1"/>
    <col min="8208" max="8208" width="25.33203125" style="43" customWidth="1"/>
    <col min="8209" max="8209" width="20.5546875" style="43" customWidth="1"/>
    <col min="8210" max="8210" width="13.44140625" style="43" customWidth="1"/>
    <col min="8211" max="8448" width="11.44140625" style="43"/>
    <col min="8449" max="8449" width="6.109375" style="43" customWidth="1"/>
    <col min="8450" max="8450" width="10.44140625" style="43" customWidth="1"/>
    <col min="8451" max="8451" width="18.109375" style="43" bestFit="1" customWidth="1"/>
    <col min="8452" max="8453" width="11.44140625" style="43" customWidth="1"/>
    <col min="8454" max="8454" width="32.88671875" style="43" customWidth="1"/>
    <col min="8455" max="8455" width="16.88671875" style="43" customWidth="1"/>
    <col min="8456" max="8456" width="15.5546875" style="43" customWidth="1"/>
    <col min="8457" max="8463" width="11.44140625" style="43" customWidth="1"/>
    <col min="8464" max="8464" width="25.33203125" style="43" customWidth="1"/>
    <col min="8465" max="8465" width="20.5546875" style="43" customWidth="1"/>
    <col min="8466" max="8466" width="13.44140625" style="43" customWidth="1"/>
    <col min="8467" max="8704" width="11.44140625" style="43"/>
    <col min="8705" max="8705" width="6.109375" style="43" customWidth="1"/>
    <col min="8706" max="8706" width="10.44140625" style="43" customWidth="1"/>
    <col min="8707" max="8707" width="18.109375" style="43" bestFit="1" customWidth="1"/>
    <col min="8708" max="8709" width="11.44140625" style="43" customWidth="1"/>
    <col min="8710" max="8710" width="32.88671875" style="43" customWidth="1"/>
    <col min="8711" max="8711" width="16.88671875" style="43" customWidth="1"/>
    <col min="8712" max="8712" width="15.5546875" style="43" customWidth="1"/>
    <col min="8713" max="8719" width="11.44140625" style="43" customWidth="1"/>
    <col min="8720" max="8720" width="25.33203125" style="43" customWidth="1"/>
    <col min="8721" max="8721" width="20.5546875" style="43" customWidth="1"/>
    <col min="8722" max="8722" width="13.44140625" style="43" customWidth="1"/>
    <col min="8723" max="8960" width="11.44140625" style="43"/>
    <col min="8961" max="8961" width="6.109375" style="43" customWidth="1"/>
    <col min="8962" max="8962" width="10.44140625" style="43" customWidth="1"/>
    <col min="8963" max="8963" width="18.109375" style="43" bestFit="1" customWidth="1"/>
    <col min="8964" max="8965" width="11.44140625" style="43" customWidth="1"/>
    <col min="8966" max="8966" width="32.88671875" style="43" customWidth="1"/>
    <col min="8967" max="8967" width="16.88671875" style="43" customWidth="1"/>
    <col min="8968" max="8968" width="15.5546875" style="43" customWidth="1"/>
    <col min="8969" max="8975" width="11.44140625" style="43" customWidth="1"/>
    <col min="8976" max="8976" width="25.33203125" style="43" customWidth="1"/>
    <col min="8977" max="8977" width="20.5546875" style="43" customWidth="1"/>
    <col min="8978" max="8978" width="13.44140625" style="43" customWidth="1"/>
    <col min="8979" max="9216" width="11.44140625" style="43"/>
    <col min="9217" max="9217" width="6.109375" style="43" customWidth="1"/>
    <col min="9218" max="9218" width="10.44140625" style="43" customWidth="1"/>
    <col min="9219" max="9219" width="18.109375" style="43" bestFit="1" customWidth="1"/>
    <col min="9220" max="9221" width="11.44140625" style="43" customWidth="1"/>
    <col min="9222" max="9222" width="32.88671875" style="43" customWidth="1"/>
    <col min="9223" max="9223" width="16.88671875" style="43" customWidth="1"/>
    <col min="9224" max="9224" width="15.5546875" style="43" customWidth="1"/>
    <col min="9225" max="9231" width="11.44140625" style="43" customWidth="1"/>
    <col min="9232" max="9232" width="25.33203125" style="43" customWidth="1"/>
    <col min="9233" max="9233" width="20.5546875" style="43" customWidth="1"/>
    <col min="9234" max="9234" width="13.44140625" style="43" customWidth="1"/>
    <col min="9235" max="9472" width="11.44140625" style="43"/>
    <col min="9473" max="9473" width="6.109375" style="43" customWidth="1"/>
    <col min="9474" max="9474" width="10.44140625" style="43" customWidth="1"/>
    <col min="9475" max="9475" width="18.109375" style="43" bestFit="1" customWidth="1"/>
    <col min="9476" max="9477" width="11.44140625" style="43" customWidth="1"/>
    <col min="9478" max="9478" width="32.88671875" style="43" customWidth="1"/>
    <col min="9479" max="9479" width="16.88671875" style="43" customWidth="1"/>
    <col min="9480" max="9480" width="15.5546875" style="43" customWidth="1"/>
    <col min="9481" max="9487" width="11.44140625" style="43" customWidth="1"/>
    <col min="9488" max="9488" width="25.33203125" style="43" customWidth="1"/>
    <col min="9489" max="9489" width="20.5546875" style="43" customWidth="1"/>
    <col min="9490" max="9490" width="13.44140625" style="43" customWidth="1"/>
    <col min="9491" max="9728" width="11.44140625" style="43"/>
    <col min="9729" max="9729" width="6.109375" style="43" customWidth="1"/>
    <col min="9730" max="9730" width="10.44140625" style="43" customWidth="1"/>
    <col min="9731" max="9731" width="18.109375" style="43" bestFit="1" customWidth="1"/>
    <col min="9732" max="9733" width="11.44140625" style="43" customWidth="1"/>
    <col min="9734" max="9734" width="32.88671875" style="43" customWidth="1"/>
    <col min="9735" max="9735" width="16.88671875" style="43" customWidth="1"/>
    <col min="9736" max="9736" width="15.5546875" style="43" customWidth="1"/>
    <col min="9737" max="9743" width="11.44140625" style="43" customWidth="1"/>
    <col min="9744" max="9744" width="25.33203125" style="43" customWidth="1"/>
    <col min="9745" max="9745" width="20.5546875" style="43" customWidth="1"/>
    <col min="9746" max="9746" width="13.44140625" style="43" customWidth="1"/>
    <col min="9747" max="9984" width="11.44140625" style="43"/>
    <col min="9985" max="9985" width="6.109375" style="43" customWidth="1"/>
    <col min="9986" max="9986" width="10.44140625" style="43" customWidth="1"/>
    <col min="9987" max="9987" width="18.109375" style="43" bestFit="1" customWidth="1"/>
    <col min="9988" max="9989" width="11.44140625" style="43" customWidth="1"/>
    <col min="9990" max="9990" width="32.88671875" style="43" customWidth="1"/>
    <col min="9991" max="9991" width="16.88671875" style="43" customWidth="1"/>
    <col min="9992" max="9992" width="15.5546875" style="43" customWidth="1"/>
    <col min="9993" max="9999" width="11.44140625" style="43" customWidth="1"/>
    <col min="10000" max="10000" width="25.33203125" style="43" customWidth="1"/>
    <col min="10001" max="10001" width="20.5546875" style="43" customWidth="1"/>
    <col min="10002" max="10002" width="13.44140625" style="43" customWidth="1"/>
    <col min="10003" max="10240" width="11.44140625" style="43"/>
    <col min="10241" max="10241" width="6.109375" style="43" customWidth="1"/>
    <col min="10242" max="10242" width="10.44140625" style="43" customWidth="1"/>
    <col min="10243" max="10243" width="18.109375" style="43" bestFit="1" customWidth="1"/>
    <col min="10244" max="10245" width="11.44140625" style="43" customWidth="1"/>
    <col min="10246" max="10246" width="32.88671875" style="43" customWidth="1"/>
    <col min="10247" max="10247" width="16.88671875" style="43" customWidth="1"/>
    <col min="10248" max="10248" width="15.5546875" style="43" customWidth="1"/>
    <col min="10249" max="10255" width="11.44140625" style="43" customWidth="1"/>
    <col min="10256" max="10256" width="25.33203125" style="43" customWidth="1"/>
    <col min="10257" max="10257" width="20.5546875" style="43" customWidth="1"/>
    <col min="10258" max="10258" width="13.44140625" style="43" customWidth="1"/>
    <col min="10259" max="10496" width="11.44140625" style="43"/>
    <col min="10497" max="10497" width="6.109375" style="43" customWidth="1"/>
    <col min="10498" max="10498" width="10.44140625" style="43" customWidth="1"/>
    <col min="10499" max="10499" width="18.109375" style="43" bestFit="1" customWidth="1"/>
    <col min="10500" max="10501" width="11.44140625" style="43" customWidth="1"/>
    <col min="10502" max="10502" width="32.88671875" style="43" customWidth="1"/>
    <col min="10503" max="10503" width="16.88671875" style="43" customWidth="1"/>
    <col min="10504" max="10504" width="15.5546875" style="43" customWidth="1"/>
    <col min="10505" max="10511" width="11.44140625" style="43" customWidth="1"/>
    <col min="10512" max="10512" width="25.33203125" style="43" customWidth="1"/>
    <col min="10513" max="10513" width="20.5546875" style="43" customWidth="1"/>
    <col min="10514" max="10514" width="13.44140625" style="43" customWidth="1"/>
    <col min="10515" max="10752" width="11.44140625" style="43"/>
    <col min="10753" max="10753" width="6.109375" style="43" customWidth="1"/>
    <col min="10754" max="10754" width="10.44140625" style="43" customWidth="1"/>
    <col min="10755" max="10755" width="18.109375" style="43" bestFit="1" customWidth="1"/>
    <col min="10756" max="10757" width="11.44140625" style="43" customWidth="1"/>
    <col min="10758" max="10758" width="32.88671875" style="43" customWidth="1"/>
    <col min="10759" max="10759" width="16.88671875" style="43" customWidth="1"/>
    <col min="10760" max="10760" width="15.5546875" style="43" customWidth="1"/>
    <col min="10761" max="10767" width="11.44140625" style="43" customWidth="1"/>
    <col min="10768" max="10768" width="25.33203125" style="43" customWidth="1"/>
    <col min="10769" max="10769" width="20.5546875" style="43" customWidth="1"/>
    <col min="10770" max="10770" width="13.44140625" style="43" customWidth="1"/>
    <col min="10771" max="11008" width="11.44140625" style="43"/>
    <col min="11009" max="11009" width="6.109375" style="43" customWidth="1"/>
    <col min="11010" max="11010" width="10.44140625" style="43" customWidth="1"/>
    <col min="11011" max="11011" width="18.109375" style="43" bestFit="1" customWidth="1"/>
    <col min="11012" max="11013" width="11.44140625" style="43" customWidth="1"/>
    <col min="11014" max="11014" width="32.88671875" style="43" customWidth="1"/>
    <col min="11015" max="11015" width="16.88671875" style="43" customWidth="1"/>
    <col min="11016" max="11016" width="15.5546875" style="43" customWidth="1"/>
    <col min="11017" max="11023" width="11.44140625" style="43" customWidth="1"/>
    <col min="11024" max="11024" width="25.33203125" style="43" customWidth="1"/>
    <col min="11025" max="11025" width="20.5546875" style="43" customWidth="1"/>
    <col min="11026" max="11026" width="13.44140625" style="43" customWidth="1"/>
    <col min="11027" max="11264" width="11.44140625" style="43"/>
    <col min="11265" max="11265" width="6.109375" style="43" customWidth="1"/>
    <col min="11266" max="11266" width="10.44140625" style="43" customWidth="1"/>
    <col min="11267" max="11267" width="18.109375" style="43" bestFit="1" customWidth="1"/>
    <col min="11268" max="11269" width="11.44140625" style="43" customWidth="1"/>
    <col min="11270" max="11270" width="32.88671875" style="43" customWidth="1"/>
    <col min="11271" max="11271" width="16.88671875" style="43" customWidth="1"/>
    <col min="11272" max="11272" width="15.5546875" style="43" customWidth="1"/>
    <col min="11273" max="11279" width="11.44140625" style="43" customWidth="1"/>
    <col min="11280" max="11280" width="25.33203125" style="43" customWidth="1"/>
    <col min="11281" max="11281" width="20.5546875" style="43" customWidth="1"/>
    <col min="11282" max="11282" width="13.44140625" style="43" customWidth="1"/>
    <col min="11283" max="11520" width="11.44140625" style="43"/>
    <col min="11521" max="11521" width="6.109375" style="43" customWidth="1"/>
    <col min="11522" max="11522" width="10.44140625" style="43" customWidth="1"/>
    <col min="11523" max="11523" width="18.109375" style="43" bestFit="1" customWidth="1"/>
    <col min="11524" max="11525" width="11.44140625" style="43" customWidth="1"/>
    <col min="11526" max="11526" width="32.88671875" style="43" customWidth="1"/>
    <col min="11527" max="11527" width="16.88671875" style="43" customWidth="1"/>
    <col min="11528" max="11528" width="15.5546875" style="43" customWidth="1"/>
    <col min="11529" max="11535" width="11.44140625" style="43" customWidth="1"/>
    <col min="11536" max="11536" width="25.33203125" style="43" customWidth="1"/>
    <col min="11537" max="11537" width="20.5546875" style="43" customWidth="1"/>
    <col min="11538" max="11538" width="13.44140625" style="43" customWidth="1"/>
    <col min="11539" max="11776" width="11.44140625" style="43"/>
    <col min="11777" max="11777" width="6.109375" style="43" customWidth="1"/>
    <col min="11778" max="11778" width="10.44140625" style="43" customWidth="1"/>
    <col min="11779" max="11779" width="18.109375" style="43" bestFit="1" customWidth="1"/>
    <col min="11780" max="11781" width="11.44140625" style="43" customWidth="1"/>
    <col min="11782" max="11782" width="32.88671875" style="43" customWidth="1"/>
    <col min="11783" max="11783" width="16.88671875" style="43" customWidth="1"/>
    <col min="11784" max="11784" width="15.5546875" style="43" customWidth="1"/>
    <col min="11785" max="11791" width="11.44140625" style="43" customWidth="1"/>
    <col min="11792" max="11792" width="25.33203125" style="43" customWidth="1"/>
    <col min="11793" max="11793" width="20.5546875" style="43" customWidth="1"/>
    <col min="11794" max="11794" width="13.44140625" style="43" customWidth="1"/>
    <col min="11795" max="12032" width="11.44140625" style="43"/>
    <col min="12033" max="12033" width="6.109375" style="43" customWidth="1"/>
    <col min="12034" max="12034" width="10.44140625" style="43" customWidth="1"/>
    <col min="12035" max="12035" width="18.109375" style="43" bestFit="1" customWidth="1"/>
    <col min="12036" max="12037" width="11.44140625" style="43" customWidth="1"/>
    <col min="12038" max="12038" width="32.88671875" style="43" customWidth="1"/>
    <col min="12039" max="12039" width="16.88671875" style="43" customWidth="1"/>
    <col min="12040" max="12040" width="15.5546875" style="43" customWidth="1"/>
    <col min="12041" max="12047" width="11.44140625" style="43" customWidth="1"/>
    <col min="12048" max="12048" width="25.33203125" style="43" customWidth="1"/>
    <col min="12049" max="12049" width="20.5546875" style="43" customWidth="1"/>
    <col min="12050" max="12050" width="13.44140625" style="43" customWidth="1"/>
    <col min="12051" max="12288" width="11.44140625" style="43"/>
    <col min="12289" max="12289" width="6.109375" style="43" customWidth="1"/>
    <col min="12290" max="12290" width="10.44140625" style="43" customWidth="1"/>
    <col min="12291" max="12291" width="18.109375" style="43" bestFit="1" customWidth="1"/>
    <col min="12292" max="12293" width="11.44140625" style="43" customWidth="1"/>
    <col min="12294" max="12294" width="32.88671875" style="43" customWidth="1"/>
    <col min="12295" max="12295" width="16.88671875" style="43" customWidth="1"/>
    <col min="12296" max="12296" width="15.5546875" style="43" customWidth="1"/>
    <col min="12297" max="12303" width="11.44140625" style="43" customWidth="1"/>
    <col min="12304" max="12304" width="25.33203125" style="43" customWidth="1"/>
    <col min="12305" max="12305" width="20.5546875" style="43" customWidth="1"/>
    <col min="12306" max="12306" width="13.44140625" style="43" customWidth="1"/>
    <col min="12307" max="12544" width="11.44140625" style="43"/>
    <col min="12545" max="12545" width="6.109375" style="43" customWidth="1"/>
    <col min="12546" max="12546" width="10.44140625" style="43" customWidth="1"/>
    <col min="12547" max="12547" width="18.109375" style="43" bestFit="1" customWidth="1"/>
    <col min="12548" max="12549" width="11.44140625" style="43" customWidth="1"/>
    <col min="12550" max="12550" width="32.88671875" style="43" customWidth="1"/>
    <col min="12551" max="12551" width="16.88671875" style="43" customWidth="1"/>
    <col min="12552" max="12552" width="15.5546875" style="43" customWidth="1"/>
    <col min="12553" max="12559" width="11.44140625" style="43" customWidth="1"/>
    <col min="12560" max="12560" width="25.33203125" style="43" customWidth="1"/>
    <col min="12561" max="12561" width="20.5546875" style="43" customWidth="1"/>
    <col min="12562" max="12562" width="13.44140625" style="43" customWidth="1"/>
    <col min="12563" max="12800" width="11.44140625" style="43"/>
    <col min="12801" max="12801" width="6.109375" style="43" customWidth="1"/>
    <col min="12802" max="12802" width="10.44140625" style="43" customWidth="1"/>
    <col min="12803" max="12803" width="18.109375" style="43" bestFit="1" customWidth="1"/>
    <col min="12804" max="12805" width="11.44140625" style="43" customWidth="1"/>
    <col min="12806" max="12806" width="32.88671875" style="43" customWidth="1"/>
    <col min="12807" max="12807" width="16.88671875" style="43" customWidth="1"/>
    <col min="12808" max="12808" width="15.5546875" style="43" customWidth="1"/>
    <col min="12809" max="12815" width="11.44140625" style="43" customWidth="1"/>
    <col min="12816" max="12816" width="25.33203125" style="43" customWidth="1"/>
    <col min="12817" max="12817" width="20.5546875" style="43" customWidth="1"/>
    <col min="12818" max="12818" width="13.44140625" style="43" customWidth="1"/>
    <col min="12819" max="13056" width="11.44140625" style="43"/>
    <col min="13057" max="13057" width="6.109375" style="43" customWidth="1"/>
    <col min="13058" max="13058" width="10.44140625" style="43" customWidth="1"/>
    <col min="13059" max="13059" width="18.109375" style="43" bestFit="1" customWidth="1"/>
    <col min="13060" max="13061" width="11.44140625" style="43" customWidth="1"/>
    <col min="13062" max="13062" width="32.88671875" style="43" customWidth="1"/>
    <col min="13063" max="13063" width="16.88671875" style="43" customWidth="1"/>
    <col min="13064" max="13064" width="15.5546875" style="43" customWidth="1"/>
    <col min="13065" max="13071" width="11.44140625" style="43" customWidth="1"/>
    <col min="13072" max="13072" width="25.33203125" style="43" customWidth="1"/>
    <col min="13073" max="13073" width="20.5546875" style="43" customWidth="1"/>
    <col min="13074" max="13074" width="13.44140625" style="43" customWidth="1"/>
    <col min="13075" max="13312" width="11.44140625" style="43"/>
    <col min="13313" max="13313" width="6.109375" style="43" customWidth="1"/>
    <col min="13314" max="13314" width="10.44140625" style="43" customWidth="1"/>
    <col min="13315" max="13315" width="18.109375" style="43" bestFit="1" customWidth="1"/>
    <col min="13316" max="13317" width="11.44140625" style="43" customWidth="1"/>
    <col min="13318" max="13318" width="32.88671875" style="43" customWidth="1"/>
    <col min="13319" max="13319" width="16.88671875" style="43" customWidth="1"/>
    <col min="13320" max="13320" width="15.5546875" style="43" customWidth="1"/>
    <col min="13321" max="13327" width="11.44140625" style="43" customWidth="1"/>
    <col min="13328" max="13328" width="25.33203125" style="43" customWidth="1"/>
    <col min="13329" max="13329" width="20.5546875" style="43" customWidth="1"/>
    <col min="13330" max="13330" width="13.44140625" style="43" customWidth="1"/>
    <col min="13331" max="13568" width="11.44140625" style="43"/>
    <col min="13569" max="13569" width="6.109375" style="43" customWidth="1"/>
    <col min="13570" max="13570" width="10.44140625" style="43" customWidth="1"/>
    <col min="13571" max="13571" width="18.109375" style="43" bestFit="1" customWidth="1"/>
    <col min="13572" max="13573" width="11.44140625" style="43" customWidth="1"/>
    <col min="13574" max="13574" width="32.88671875" style="43" customWidth="1"/>
    <col min="13575" max="13575" width="16.88671875" style="43" customWidth="1"/>
    <col min="13576" max="13576" width="15.5546875" style="43" customWidth="1"/>
    <col min="13577" max="13583" width="11.44140625" style="43" customWidth="1"/>
    <col min="13584" max="13584" width="25.33203125" style="43" customWidth="1"/>
    <col min="13585" max="13585" width="20.5546875" style="43" customWidth="1"/>
    <col min="13586" max="13586" width="13.44140625" style="43" customWidth="1"/>
    <col min="13587" max="13824" width="11.44140625" style="43"/>
    <col min="13825" max="13825" width="6.109375" style="43" customWidth="1"/>
    <col min="13826" max="13826" width="10.44140625" style="43" customWidth="1"/>
    <col min="13827" max="13827" width="18.109375" style="43" bestFit="1" customWidth="1"/>
    <col min="13828" max="13829" width="11.44140625" style="43" customWidth="1"/>
    <col min="13830" max="13830" width="32.88671875" style="43" customWidth="1"/>
    <col min="13831" max="13831" width="16.88671875" style="43" customWidth="1"/>
    <col min="13832" max="13832" width="15.5546875" style="43" customWidth="1"/>
    <col min="13833" max="13839" width="11.44140625" style="43" customWidth="1"/>
    <col min="13840" max="13840" width="25.33203125" style="43" customWidth="1"/>
    <col min="13841" max="13841" width="20.5546875" style="43" customWidth="1"/>
    <col min="13842" max="13842" width="13.44140625" style="43" customWidth="1"/>
    <col min="13843" max="14080" width="11.44140625" style="43"/>
    <col min="14081" max="14081" width="6.109375" style="43" customWidth="1"/>
    <col min="14082" max="14082" width="10.44140625" style="43" customWidth="1"/>
    <col min="14083" max="14083" width="18.109375" style="43" bestFit="1" customWidth="1"/>
    <col min="14084" max="14085" width="11.44140625" style="43" customWidth="1"/>
    <col min="14086" max="14086" width="32.88671875" style="43" customWidth="1"/>
    <col min="14087" max="14087" width="16.88671875" style="43" customWidth="1"/>
    <col min="14088" max="14088" width="15.5546875" style="43" customWidth="1"/>
    <col min="14089" max="14095" width="11.44140625" style="43" customWidth="1"/>
    <col min="14096" max="14096" width="25.33203125" style="43" customWidth="1"/>
    <col min="14097" max="14097" width="20.5546875" style="43" customWidth="1"/>
    <col min="14098" max="14098" width="13.44140625" style="43" customWidth="1"/>
    <col min="14099" max="14336" width="11.44140625" style="43"/>
    <col min="14337" max="14337" width="6.109375" style="43" customWidth="1"/>
    <col min="14338" max="14338" width="10.44140625" style="43" customWidth="1"/>
    <col min="14339" max="14339" width="18.109375" style="43" bestFit="1" customWidth="1"/>
    <col min="14340" max="14341" width="11.44140625" style="43" customWidth="1"/>
    <col min="14342" max="14342" width="32.88671875" style="43" customWidth="1"/>
    <col min="14343" max="14343" width="16.88671875" style="43" customWidth="1"/>
    <col min="14344" max="14344" width="15.5546875" style="43" customWidth="1"/>
    <col min="14345" max="14351" width="11.44140625" style="43" customWidth="1"/>
    <col min="14352" max="14352" width="25.33203125" style="43" customWidth="1"/>
    <col min="14353" max="14353" width="20.5546875" style="43" customWidth="1"/>
    <col min="14354" max="14354" width="13.44140625" style="43" customWidth="1"/>
    <col min="14355" max="14592" width="11.44140625" style="43"/>
    <col min="14593" max="14593" width="6.109375" style="43" customWidth="1"/>
    <col min="14594" max="14594" width="10.44140625" style="43" customWidth="1"/>
    <col min="14595" max="14595" width="18.109375" style="43" bestFit="1" customWidth="1"/>
    <col min="14596" max="14597" width="11.44140625" style="43" customWidth="1"/>
    <col min="14598" max="14598" width="32.88671875" style="43" customWidth="1"/>
    <col min="14599" max="14599" width="16.88671875" style="43" customWidth="1"/>
    <col min="14600" max="14600" width="15.5546875" style="43" customWidth="1"/>
    <col min="14601" max="14607" width="11.44140625" style="43" customWidth="1"/>
    <col min="14608" max="14608" width="25.33203125" style="43" customWidth="1"/>
    <col min="14609" max="14609" width="20.5546875" style="43" customWidth="1"/>
    <col min="14610" max="14610" width="13.44140625" style="43" customWidth="1"/>
    <col min="14611" max="14848" width="11.44140625" style="43"/>
    <col min="14849" max="14849" width="6.109375" style="43" customWidth="1"/>
    <col min="14850" max="14850" width="10.44140625" style="43" customWidth="1"/>
    <col min="14851" max="14851" width="18.109375" style="43" bestFit="1" customWidth="1"/>
    <col min="14852" max="14853" width="11.44140625" style="43" customWidth="1"/>
    <col min="14854" max="14854" width="32.88671875" style="43" customWidth="1"/>
    <col min="14855" max="14855" width="16.88671875" style="43" customWidth="1"/>
    <col min="14856" max="14856" width="15.5546875" style="43" customWidth="1"/>
    <col min="14857" max="14863" width="11.44140625" style="43" customWidth="1"/>
    <col min="14864" max="14864" width="25.33203125" style="43" customWidth="1"/>
    <col min="14865" max="14865" width="20.5546875" style="43" customWidth="1"/>
    <col min="14866" max="14866" width="13.44140625" style="43" customWidth="1"/>
    <col min="14867" max="15104" width="11.44140625" style="43"/>
    <col min="15105" max="15105" width="6.109375" style="43" customWidth="1"/>
    <col min="15106" max="15106" width="10.44140625" style="43" customWidth="1"/>
    <col min="15107" max="15107" width="18.109375" style="43" bestFit="1" customWidth="1"/>
    <col min="15108" max="15109" width="11.44140625" style="43" customWidth="1"/>
    <col min="15110" max="15110" width="32.88671875" style="43" customWidth="1"/>
    <col min="15111" max="15111" width="16.88671875" style="43" customWidth="1"/>
    <col min="15112" max="15112" width="15.5546875" style="43" customWidth="1"/>
    <col min="15113" max="15119" width="11.44140625" style="43" customWidth="1"/>
    <col min="15120" max="15120" width="25.33203125" style="43" customWidth="1"/>
    <col min="15121" max="15121" width="20.5546875" style="43" customWidth="1"/>
    <col min="15122" max="15122" width="13.44140625" style="43" customWidth="1"/>
    <col min="15123" max="15360" width="11.44140625" style="43"/>
    <col min="15361" max="15361" width="6.109375" style="43" customWidth="1"/>
    <col min="15362" max="15362" width="10.44140625" style="43" customWidth="1"/>
    <col min="15363" max="15363" width="18.109375" style="43" bestFit="1" customWidth="1"/>
    <col min="15364" max="15365" width="11.44140625" style="43" customWidth="1"/>
    <col min="15366" max="15366" width="32.88671875" style="43" customWidth="1"/>
    <col min="15367" max="15367" width="16.88671875" style="43" customWidth="1"/>
    <col min="15368" max="15368" width="15.5546875" style="43" customWidth="1"/>
    <col min="15369" max="15375" width="11.44140625" style="43" customWidth="1"/>
    <col min="15376" max="15376" width="25.33203125" style="43" customWidth="1"/>
    <col min="15377" max="15377" width="20.5546875" style="43" customWidth="1"/>
    <col min="15378" max="15378" width="13.44140625" style="43" customWidth="1"/>
    <col min="15379" max="15616" width="11.44140625" style="43"/>
    <col min="15617" max="15617" width="6.109375" style="43" customWidth="1"/>
    <col min="15618" max="15618" width="10.44140625" style="43" customWidth="1"/>
    <col min="15619" max="15619" width="18.109375" style="43" bestFit="1" customWidth="1"/>
    <col min="15620" max="15621" width="11.44140625" style="43" customWidth="1"/>
    <col min="15622" max="15622" width="32.88671875" style="43" customWidth="1"/>
    <col min="15623" max="15623" width="16.88671875" style="43" customWidth="1"/>
    <col min="15624" max="15624" width="15.5546875" style="43" customWidth="1"/>
    <col min="15625" max="15631" width="11.44140625" style="43" customWidth="1"/>
    <col min="15632" max="15632" width="25.33203125" style="43" customWidth="1"/>
    <col min="15633" max="15633" width="20.5546875" style="43" customWidth="1"/>
    <col min="15634" max="15634" width="13.44140625" style="43" customWidth="1"/>
    <col min="15635" max="15872" width="11.44140625" style="43"/>
    <col min="15873" max="15873" width="6.109375" style="43" customWidth="1"/>
    <col min="15874" max="15874" width="10.44140625" style="43" customWidth="1"/>
    <col min="15875" max="15875" width="18.109375" style="43" bestFit="1" customWidth="1"/>
    <col min="15876" max="15877" width="11.44140625" style="43" customWidth="1"/>
    <col min="15878" max="15878" width="32.88671875" style="43" customWidth="1"/>
    <col min="15879" max="15879" width="16.88671875" style="43" customWidth="1"/>
    <col min="15880" max="15880" width="15.5546875" style="43" customWidth="1"/>
    <col min="15881" max="15887" width="11.44140625" style="43" customWidth="1"/>
    <col min="15888" max="15888" width="25.33203125" style="43" customWidth="1"/>
    <col min="15889" max="15889" width="20.5546875" style="43" customWidth="1"/>
    <col min="15890" max="15890" width="13.44140625" style="43" customWidth="1"/>
    <col min="15891" max="16128" width="11.44140625" style="43"/>
    <col min="16129" max="16129" width="6.109375" style="43" customWidth="1"/>
    <col min="16130" max="16130" width="10.44140625" style="43" customWidth="1"/>
    <col min="16131" max="16131" width="18.109375" style="43" bestFit="1" customWidth="1"/>
    <col min="16132" max="16133" width="11.44140625" style="43" customWidth="1"/>
    <col min="16134" max="16134" width="32.88671875" style="43" customWidth="1"/>
    <col min="16135" max="16135" width="16.88671875" style="43" customWidth="1"/>
    <col min="16136" max="16136" width="15.5546875" style="43" customWidth="1"/>
    <col min="16137" max="16143" width="11.44140625" style="43" customWidth="1"/>
    <col min="16144" max="16144" width="25.33203125" style="43" customWidth="1"/>
    <col min="16145" max="16145" width="20.5546875" style="43" customWidth="1"/>
    <col min="16146" max="16146" width="13.44140625" style="43" customWidth="1"/>
    <col min="16147" max="16384" width="11.44140625" style="43"/>
  </cols>
  <sheetData>
    <row r="1" spans="1:69" ht="23.25" customHeight="1">
      <c r="A1" s="681"/>
      <c r="B1" s="1337" t="s">
        <v>191</v>
      </c>
      <c r="C1" s="1337"/>
      <c r="D1" s="1337"/>
      <c r="E1" s="1337"/>
      <c r="F1" s="1337"/>
      <c r="G1" s="1337"/>
      <c r="H1" s="1337"/>
      <c r="I1" s="681"/>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row>
    <row r="2" spans="1:69">
      <c r="A2" s="681"/>
      <c r="B2" s="682"/>
      <c r="C2" s="730"/>
      <c r="D2" s="682"/>
      <c r="E2" s="682"/>
      <c r="F2" s="682"/>
      <c r="G2" s="682"/>
      <c r="H2" s="682"/>
      <c r="I2" s="681"/>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row>
    <row r="3" spans="1:69" ht="18" thickBot="1">
      <c r="A3" s="681"/>
      <c r="B3" s="683" t="s">
        <v>476</v>
      </c>
      <c r="C3" s="759">
        <f>ROUND('D6913'!F46,2)</f>
        <v>17.329999999999998</v>
      </c>
      <c r="D3" s="683" t="s">
        <v>80</v>
      </c>
      <c r="E3" s="760">
        <f>+'D6913'!J144</f>
        <v>192.23469140394531</v>
      </c>
      <c r="F3" s="681"/>
      <c r="G3" s="681"/>
      <c r="H3" s="682"/>
      <c r="I3" s="681"/>
      <c r="K3" s="684" t="s">
        <v>477</v>
      </c>
      <c r="L3" s="684">
        <f>+IF(N_10="NP",0,N_10)</f>
        <v>31</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row>
    <row r="4" spans="1:69" ht="19.5" customHeight="1" thickBot="1">
      <c r="A4" s="681"/>
      <c r="B4" s="683" t="s">
        <v>478</v>
      </c>
      <c r="C4" s="759">
        <f>IF('D6913'!F34="",0,ROUND('D6913'!F34,2))</f>
        <v>62.48</v>
      </c>
      <c r="D4" s="683" t="s">
        <v>81</v>
      </c>
      <c r="E4" s="759">
        <f>+'D6913'!L144</f>
        <v>2.7454763857021636</v>
      </c>
      <c r="F4" s="685" t="s">
        <v>479</v>
      </c>
      <c r="G4" s="686" t="str">
        <f>IF(N_200&lt;&gt;0,R9,"")</f>
        <v>SC</v>
      </c>
      <c r="H4" s="687"/>
      <c r="I4" s="681"/>
      <c r="K4" s="684" t="s">
        <v>480</v>
      </c>
      <c r="L4" s="684">
        <f>+IF(C6="NP",0,C6)</f>
        <v>11.615210490445087</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row>
    <row r="5" spans="1:69" ht="17.399999999999999">
      <c r="A5" s="681"/>
      <c r="B5" s="683" t="s">
        <v>481</v>
      </c>
      <c r="C5" s="759">
        <f>+IF('D4318'!F59="NP",0,'D4318'!F59)</f>
        <v>31</v>
      </c>
      <c r="D5" s="688"/>
      <c r="E5" s="688"/>
      <c r="F5" s="689"/>
      <c r="G5" s="690" t="str">
        <f>P9&amp;P10&amp;P11&amp;P12&amp;P13&amp;P14&amp;P15&amp;P16&amp;P17&amp;P18&amp;P19&amp;P20&amp;P21&amp;P22&amp;P23</f>
        <v xml:space="preserve"> - Arena Arcillosa con grava</v>
      </c>
      <c r="H5" s="682"/>
      <c r="I5" s="681"/>
      <c r="K5" s="684" t="s">
        <v>472</v>
      </c>
      <c r="L5" s="443">
        <f>IF(OR(E3="",E3=""),0,E3)</f>
        <v>192.23469140394531</v>
      </c>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row>
    <row r="6" spans="1:69" ht="17.399999999999999">
      <c r="A6" s="681"/>
      <c r="B6" s="683" t="s">
        <v>482</v>
      </c>
      <c r="C6" s="759">
        <f>+IF('D4318'!F61="NP",0,'D4318'!F61)</f>
        <v>11.615210490445087</v>
      </c>
      <c r="D6" s="688"/>
      <c r="E6" s="688"/>
      <c r="F6" s="689"/>
      <c r="G6" s="682"/>
      <c r="H6" s="682"/>
      <c r="I6" s="681"/>
      <c r="K6" s="443" t="s">
        <v>473</v>
      </c>
      <c r="L6" s="443">
        <f>IF(OR(E4="",E4=""),0,E4)</f>
        <v>2.7454763857021636</v>
      </c>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row>
    <row r="7" spans="1:69" ht="13.8" thickBot="1">
      <c r="A7" s="681"/>
      <c r="B7" s="681"/>
      <c r="C7" s="682"/>
      <c r="D7" s="681"/>
      <c r="E7" s="681"/>
      <c r="F7" s="681"/>
      <c r="G7" s="681"/>
      <c r="H7" s="681"/>
      <c r="I7" s="681"/>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row>
    <row r="8" spans="1:69" ht="44.25" customHeight="1" thickBot="1">
      <c r="A8" s="681"/>
      <c r="B8" s="1338" t="s">
        <v>483</v>
      </c>
      <c r="C8" s="1338"/>
      <c r="D8" s="1338"/>
      <c r="E8" s="691" t="s">
        <v>484</v>
      </c>
      <c r="F8" s="692" t="s">
        <v>195</v>
      </c>
      <c r="G8" s="1339" t="s">
        <v>485</v>
      </c>
      <c r="H8" s="1339"/>
      <c r="I8" s="681"/>
      <c r="K8" s="42"/>
      <c r="L8" s="693" t="s">
        <v>486</v>
      </c>
      <c r="M8" s="1340" t="s">
        <v>487</v>
      </c>
      <c r="N8" s="1340"/>
      <c r="O8" s="694" t="s">
        <v>488</v>
      </c>
      <c r="P8" s="694" t="s">
        <v>489</v>
      </c>
      <c r="Q8" s="695" t="s">
        <v>369</v>
      </c>
      <c r="R8" s="696" t="s">
        <v>209</v>
      </c>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row>
    <row r="9" spans="1:69" ht="40.5" customHeight="1" thickBot="1">
      <c r="A9" s="681"/>
      <c r="B9" s="1341" t="s">
        <v>490</v>
      </c>
      <c r="C9" s="1343" t="s">
        <v>491</v>
      </c>
      <c r="D9" s="1345" t="s">
        <v>492</v>
      </c>
      <c r="E9" s="697" t="s">
        <v>128</v>
      </c>
      <c r="F9" s="698" t="s">
        <v>212</v>
      </c>
      <c r="G9" s="1346" t="s">
        <v>493</v>
      </c>
      <c r="H9" s="1347"/>
      <c r="I9" s="681"/>
      <c r="K9" s="42"/>
      <c r="L9" s="699" t="str">
        <f>IF(AND(N_200&lt;50,(IF(N_40&gt;0,100-N_40,N_40))&gt;=0.5*(100-N_200),N_200&lt;5,CU&gt;=4,CC&gt;=1,CC&lt;=3),"GW","")</f>
        <v/>
      </c>
      <c r="M9" s="700" t="str">
        <f>IF(AND(N_200&lt;50,(IF(N_40&gt;0,100-N_40,N_40))&gt;=0.5*(100-N_200),N_200&gt;=5,CU&gt;=4,CC&gt;=1,CC&lt;=3,N_200&lt;12,IP&gt;=7,IP&gt;=0.73*(Ll-20)),"GW-GC","")</f>
        <v/>
      </c>
      <c r="N9" s="700" t="str">
        <f>IF(AND(N_200&lt;50,(IF(N_40&gt;0,100-N_40,N_40))&gt;=0.5*(100-N_200),N_200&gt;=5,CU&gt;=4,CC&gt;=1,CC&lt;=3,N_200&lt;12,OR(IP&lt;4,IP&lt;0.73*(Ll-20))),"GW-GM","")</f>
        <v/>
      </c>
      <c r="O9" s="700" t="str">
        <f>IF(AND(N_200&lt;50,(IF(N_40&gt;0,100-N_40,N_40))&gt;=0.5*(100-N_200),N_200&gt;=5,CU&gt;=4,CC&gt;=1,CC&lt;=3,N_200&lt;12,IP&gt;=4,IP&lt;7,IP&lt;0.9*(Ll-8),IP&gt;=0.73*(Ll-20)),"GW-GC-GM","")</f>
        <v/>
      </c>
      <c r="P9" s="701" t="str">
        <f>IF(GW&lt;&gt;"",(IF(Arena&lt;15," - Grava bien gradada",IF(Arena&gt;=15," - Grava bien gradada con arena",""))),IF(GWGC&lt;&gt;"",(IF(Arena&lt;15," - Grava bien gradada con arcilla",IF(Arena&gt;=15," - Grava bien gradada con arcilla y arena",""))),IF(GWGM&lt;&gt;"",(IF(Arena&lt;15," - Grava bien gradada con limo",IF(Arena&gt;=15," - Grava bien gradada con limo y arena",""))),IF(GWGCGM&lt;&gt;"",(IF(Arena&lt;15," - Grava bien gradada con arcilla y limo",IF(Arena&gt;=15," - Grava bien gradada con arcilla, arena y limo",""))),""))))</f>
        <v/>
      </c>
      <c r="Q9" s="701" t="str">
        <f>+L9&amp;M9&amp;N9&amp;O9</f>
        <v/>
      </c>
      <c r="R9" s="702" t="str">
        <f>+Q9&amp;Q10&amp;Q11&amp;Q12&amp;Q13&amp;Q14&amp;Q15&amp;Q16&amp;Q17&amp;Q18&amp;Q19&amp;Q20&amp;Q21&amp;Q22&amp;Q23&amp;Q24</f>
        <v>SC</v>
      </c>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row>
    <row r="10" spans="1:69" ht="45.75" customHeight="1" thickBot="1">
      <c r="A10" s="681"/>
      <c r="B10" s="1341"/>
      <c r="C10" s="1343"/>
      <c r="D10" s="1345"/>
      <c r="E10" s="703" t="s">
        <v>129</v>
      </c>
      <c r="F10" s="704" t="s">
        <v>494</v>
      </c>
      <c r="G10" s="1348" t="s">
        <v>495</v>
      </c>
      <c r="H10" s="1349"/>
      <c r="I10" s="681"/>
      <c r="K10" s="42"/>
      <c r="L10" s="705" t="str">
        <f>IF(AND(N_200&lt;50,(IF(N_40&gt;0,100-N_40,N_40))&gt;=0.5*(100-N_200),N_200&lt;5,OR(CU&lt;4,CC&lt;1,CC&gt;3)),"GP","")</f>
        <v/>
      </c>
      <c r="M10" s="706" t="str">
        <f>IF(AND(N_200&lt;50,(IF(N_40&gt;0,100-N_40,N_40))&gt;=0.5*(100-N_200),N_200&gt;=5,OR(CU&lt;4,CC&lt;1,CC&gt;3),N_200&lt;12,IP&gt;=7,IP&gt;=0.73*(Ll-20)),"GP-GC","")</f>
        <v/>
      </c>
      <c r="N10" s="706" t="str">
        <f>IF(AND(N_200&lt;50,(IF(N_40&gt;0,100-N_40,N_40))&gt;=0.5*(100-N_200),N_200&gt;=5,OR(CU&lt;4,CC&lt;1,CC&gt;3),N_200&lt;12,OR(IP&lt;4,IP&lt;0.73*(Ll-20))),"GP-GM","")</f>
        <v/>
      </c>
      <c r="O10" s="706" t="str">
        <f>IF(AND(N_200&lt;50,(IF(N_40&gt;0,100-N_40,N_40))&gt;=0.5*(100-N_200),N_200&gt;=5,OR(CU&lt;4,CC&lt;1,CC&gt;3),N_200&lt;12,IP&gt;=4,IP&lt;7,IP&lt;0.9*(Ll-8),IP&gt;=0.73*(Ll-20)),"GP-GC-GM","")</f>
        <v/>
      </c>
      <c r="P10" s="707" t="str">
        <f>IF(GP&lt;&gt;"",(IF(Arena&lt;15," - Grava pobremente gradada",IF(Arena&gt;=15," - Grava pobremente gradada con arena",""))),IF(GPGC&lt;&gt;"",(IF(Arena&lt;15," - Grava pobremente gradada con arcilla",IF(Arena&gt;=15," - Grava pobremente gradada con arcilla y arena",""))),IF(GPGM&lt;&gt;"",(IF(Arena&lt;15," - Grava pobremente gradada con limo",IF(Arena&gt;=15," - Grava pobremente gradada con limo y arena",""))),IF(GPGCGM&lt;&gt;"",(IF(Arena&lt;15," - Grava pobremente gradada con arcilla y limo",IF(Arena&gt;=15," - Grava pobremente gradada con arcilla, arena y limo",""))),""))))</f>
        <v/>
      </c>
      <c r="Q10" s="701" t="str">
        <f t="shared" ref="Q10:Q23" si="0">+L10&amp;M10&amp;N10&amp;O10</f>
        <v/>
      </c>
      <c r="R10" s="708"/>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row>
    <row r="11" spans="1:69" ht="54.75" customHeight="1" thickBot="1">
      <c r="A11" s="681"/>
      <c r="B11" s="1341"/>
      <c r="C11" s="1343"/>
      <c r="D11" s="1345" t="s">
        <v>496</v>
      </c>
      <c r="E11" s="703" t="s">
        <v>130</v>
      </c>
      <c r="F11" s="704" t="s">
        <v>497</v>
      </c>
      <c r="G11" s="704" t="s">
        <v>498</v>
      </c>
      <c r="H11" s="1350" t="s">
        <v>499</v>
      </c>
      <c r="I11" s="681"/>
      <c r="K11" s="42"/>
      <c r="L11" s="705" t="str">
        <f>IF(AND(N_200&lt;50,(IF(N_40&gt;0,100-N_40,N_40))&gt;=0.5*(100-N_200),N_200&gt;=12,OR(IP&lt;4,IP&lt;0.73*(Ll-20))),"GM","")</f>
        <v/>
      </c>
      <c r="M11" s="706" t="str">
        <f>IF(AND(N_200&lt;50,(IF(N_40&gt;0,100-N_40,N_40))&gt;=0.5*(100-N_200),N_200&gt;=12,IP&gt;=4,IP&lt;7,IP&gt;=0.73*(Ll-20)),"GM-GC","")</f>
        <v/>
      </c>
      <c r="N11" s="706"/>
      <c r="O11" s="706"/>
      <c r="P11" s="707" t="str">
        <f>IF(GM&lt;&gt;"",(IF(Arena&lt;15," - Grava limosa",IF(Arena&gt;=15," - Grava limosa con arena",""))),IF(GCGM&lt;&gt;"",(IF(Arena&lt;15," - Grava limo arcillosa",IF(Arena&gt;=15," - Grava limo arcillosa con arena",""))),""))</f>
        <v/>
      </c>
      <c r="Q11" s="701" t="str">
        <f t="shared" si="0"/>
        <v/>
      </c>
      <c r="R11" s="708"/>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row>
    <row r="12" spans="1:69" ht="56.25" customHeight="1" thickBot="1">
      <c r="A12" s="681"/>
      <c r="B12" s="1341"/>
      <c r="C12" s="1344"/>
      <c r="D12" s="1345"/>
      <c r="E12" s="709" t="s">
        <v>131</v>
      </c>
      <c r="F12" s="704" t="s">
        <v>500</v>
      </c>
      <c r="G12" s="704" t="s">
        <v>501</v>
      </c>
      <c r="H12" s="1351"/>
      <c r="I12" s="681"/>
      <c r="K12" s="42"/>
      <c r="L12" s="705" t="str">
        <f>IF(AND(N_200&lt;50,(IF(N_40&gt;0,100-N_40,N_40))&gt;=0.5*(100-N_200),N_200&gt;=12,IP&gt;=7,IP&gt;=0.73*(Ll-20)),"GC","")</f>
        <v/>
      </c>
      <c r="M12" s="706"/>
      <c r="N12" s="706"/>
      <c r="O12" s="706"/>
      <c r="P12" s="707" t="str">
        <f>IF(GC&lt;&gt;"",IF(Arena&lt;15," Grava Arcillosa","  Grava Arcillosa con Arena"),"")</f>
        <v/>
      </c>
      <c r="Q12" s="701" t="str">
        <f t="shared" si="0"/>
        <v/>
      </c>
      <c r="R12" s="708"/>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row>
    <row r="13" spans="1:69" ht="36" customHeight="1" thickBot="1">
      <c r="A13" s="681"/>
      <c r="B13" s="1341"/>
      <c r="C13" s="1343" t="s">
        <v>502</v>
      </c>
      <c r="D13" s="1345" t="s">
        <v>503</v>
      </c>
      <c r="E13" s="710" t="s">
        <v>132</v>
      </c>
      <c r="F13" s="711" t="s">
        <v>504</v>
      </c>
      <c r="G13" s="1352" t="s">
        <v>505</v>
      </c>
      <c r="H13" s="1353"/>
      <c r="I13" s="681"/>
      <c r="K13" s="42"/>
      <c r="L13" s="705" t="str">
        <f>IF(AND(N_200&lt;50,(IF(N_40&gt;0,100-N_40,N_40))&lt;0.5*(100-N_200),N_200&lt;5,CU&gt;=6,CC&gt;=1,CC&lt;=3),"SW","")</f>
        <v/>
      </c>
      <c r="M13" s="706" t="str">
        <f>IF(AND(N_200&lt;50,(IF(N_40&gt;0,100-N_40,N_40))&lt;0.5*(100-N_200),N_200&gt;=5,CU&gt;=6,CC&gt;=1,CC&lt;=3,N_200&lt;12,IP&gt;=7,IP&gt;=0.73*(Ll-20)),"SW-SC","")</f>
        <v/>
      </c>
      <c r="N13" s="706" t="str">
        <f>IF(AND(N_200&lt;50,(IF(N_40&gt;0,100-N_40,N_40))&lt;0.5*(100-N_200),N_200&gt;=5,CU&gt;=6,CC&gt;=1,CC&lt;=3,N_200&lt;12,OR(IP&lt;4,IP&lt;0.73*(Ll-20))),"SW-SM","")</f>
        <v/>
      </c>
      <c r="O13" s="706" t="str">
        <f>IF(AND(N_200&lt;50,(IF(N_40&gt;0,100-N_40,N_40))&lt;0.5*(100-N_200),N_200&gt;=5,CU&gt;=6,CC&gt;=1,CC&lt;=3,N_200&lt;12,IP&gt;=4,IP&lt;7,IP&lt;0.9*(Ll-8),IP&gt;=0.73*(Ll-20)),"SW-SC-SM","")</f>
        <v/>
      </c>
      <c r="P13" s="707" t="str">
        <f>IF(SW&lt;&gt;"",(IF(Grava&lt;15," - Arena bien gradada",IF(Grava&gt;=15," - Arena bien gradada con grava",""))),IF(SWSC&lt;&gt;"",(IF(Grava&lt;15," - Arena bien gradada con arcilla",IF(Grava&gt;=15," - Arena bien gradada con arcilla y grava",""))),IF(SWSM&lt;&gt;"",(IF(Grava&lt;15," - Arena bien gradada con limo",IF(Grava&gt;=15," - Arena bien gradada con limo y grava",""))),IF(SWSCSM&lt;&gt;"",(IF(Grava&lt;15," - Arena bien gradada con arcilla y limo",IF(Grava&gt;=15," - Arena bien gradada con grava, arcilla y limo",""))),""))))</f>
        <v/>
      </c>
      <c r="Q13" s="701" t="str">
        <f t="shared" si="0"/>
        <v/>
      </c>
      <c r="R13" s="708"/>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row>
    <row r="14" spans="1:69" ht="46.5" customHeight="1" thickBot="1">
      <c r="A14" s="681"/>
      <c r="B14" s="1341"/>
      <c r="C14" s="1343"/>
      <c r="D14" s="1345"/>
      <c r="E14" s="710" t="s">
        <v>133</v>
      </c>
      <c r="F14" s="711" t="s">
        <v>506</v>
      </c>
      <c r="G14" s="1352" t="s">
        <v>507</v>
      </c>
      <c r="H14" s="1353"/>
      <c r="I14" s="681"/>
      <c r="K14" s="42"/>
      <c r="L14" s="705" t="str">
        <f>IF(AND(N_200&lt;50,(IF(N_40&gt;0,100-N_40,N_40))&lt;0.5*(100-N_200),N_200&lt;5,OR(CU&lt;6,CC&lt;1,CC&gt;3)),"SP","")</f>
        <v/>
      </c>
      <c r="M14" s="706" t="str">
        <f>IF(AND(N_200&lt;50,(IF(N_40&gt;0,100-N_40,N_40))&lt;0.5*(100-N_200),N_200&gt;=5,OR(CU&lt;6,CC&lt;1,CC&gt;3),N_200&lt;12,IP&gt;=7,IP&gt;=0.73*(Ll-20)),"SP-SC","")</f>
        <v/>
      </c>
      <c r="N14" s="706" t="str">
        <f>IF(AND(N_200&lt;50,(IF(N_40&gt;0,100-N_40,N_40))&lt;0.5*(100-N_200),N_200&gt;=5,OR(CU&lt;6,CC&lt;1,CC&gt;3),N_200&lt;12,OR(IP&lt;4,IP&lt;0.73*(Ll-20))),"SP-SM","")</f>
        <v/>
      </c>
      <c r="O14" s="706" t="str">
        <f>IF(AND(N_200&lt;50,(IF(N_40&gt;0,100-N_40,N_40))&lt;0.5*(100-N_200),N_200&gt;=5,OR(CU&lt;6,CC&lt;1,CC&gt;3),N_200&lt;12,IP&gt;=4,IP&lt;7,IP&lt;0.9*(Ll-8),IP&gt;=0.73*(Ll-20)),"SP-SC-SM","")</f>
        <v/>
      </c>
      <c r="P14" s="707" t="str">
        <f>IF(SP&lt;&gt;"",(IF(Grava&lt;15," - Arena pobremente gradada",IF(Grava&gt;=15," - Arena pobremente gradada con grava",""))),IF(SPSC&lt;&gt;"",(IF(Grava&lt;15," - Arena pobremente gradada con arcilla",IF(Grava&gt;=15," - Arena pobremente gradada con arcilla y grava",""))),IF(SPSM&lt;&gt;"",(IF(Grava&lt;15," - Arena pobremente gradada con limo",IF(Grava&gt;=15," - Arena pobremente gradada con limo y grava",""))),IF(SPSCSM&lt;&gt;"",(IF(Grava&lt;15," - Arena pobremente gradada con arcilla y limo",IF(Grava&gt;=15," - Arena pobremente gradada con grava, arcilla y limo",""))),""))))</f>
        <v/>
      </c>
      <c r="Q14" s="701" t="str">
        <f t="shared" si="0"/>
        <v/>
      </c>
      <c r="R14" s="708"/>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row>
    <row r="15" spans="1:69" ht="59.25" customHeight="1" thickBot="1">
      <c r="A15" s="681"/>
      <c r="B15" s="1341"/>
      <c r="C15" s="1343"/>
      <c r="D15" s="1345" t="s">
        <v>508</v>
      </c>
      <c r="E15" s="710" t="s">
        <v>134</v>
      </c>
      <c r="F15" s="711" t="s">
        <v>509</v>
      </c>
      <c r="G15" s="711" t="s">
        <v>510</v>
      </c>
      <c r="H15" s="1314" t="s">
        <v>511</v>
      </c>
      <c r="I15" s="681"/>
      <c r="K15" s="42"/>
      <c r="L15" s="705" t="str">
        <f>IF(AND(N_200&lt;50,(IF(N_40&gt;0,100-N_40,N_40))&lt;0.5*(100-N_200),N_200&gt;=12,OR(IP&lt;4,IP&lt;0.73*(Ll-20))),"SM","")</f>
        <v/>
      </c>
      <c r="M15" s="706" t="str">
        <f>IF(AND(N_200&lt;50,(IF(N_40&gt;0,100-N_40,N_40))&lt;0.5*(100-N_200),N_200&gt;=12,IP&gt;=4,IP&lt;7,IP&gt;=0.73*(Ll-20)),"SM-SC","")</f>
        <v/>
      </c>
      <c r="N15" s="706"/>
      <c r="O15" s="706"/>
      <c r="P15" s="707" t="str">
        <f>IF(SM&lt;&gt;"",(IF(Grava&lt;15," - Arena limosa",IF(Grava&gt;=15," - Arena limosa con grava",""))),IF(SCSM&lt;&gt;"",(IF(Grava&lt;15," - Arena limo arcillosa",IF(Grava&gt;=15," - Arena limo arcillosa con grava",""))),""))</f>
        <v/>
      </c>
      <c r="Q15" s="701" t="str">
        <f t="shared" si="0"/>
        <v/>
      </c>
      <c r="R15" s="708"/>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row>
    <row r="16" spans="1:69" ht="62.25" customHeight="1" thickBot="1">
      <c r="A16" s="681"/>
      <c r="B16" s="1342"/>
      <c r="C16" s="1343"/>
      <c r="D16" s="1345"/>
      <c r="E16" s="712" t="s">
        <v>135</v>
      </c>
      <c r="F16" s="711" t="s">
        <v>512</v>
      </c>
      <c r="G16" s="713" t="s">
        <v>513</v>
      </c>
      <c r="H16" s="1315"/>
      <c r="I16" s="681"/>
      <c r="K16" s="42"/>
      <c r="L16" s="705" t="str">
        <f>IF(AND(N_200&lt;50,(IF(N_40&gt;0,100-N_40,N_40))&lt;0.5*(100-N_200),N_200&gt;=12,IP&gt;=7,IP&gt;=0.73*(Ll-20)),"SC","")</f>
        <v>SC</v>
      </c>
      <c r="M16" s="706"/>
      <c r="N16" s="706"/>
      <c r="O16" s="706"/>
      <c r="P16" s="707" t="str">
        <f>IF(SC&lt;&gt;"",IF(Grava&lt;15," - Arena Arcillosa"," - Arena Arcillosa con grava"),"")</f>
        <v xml:space="preserve"> - Arena Arcillosa con grava</v>
      </c>
      <c r="Q16" s="701" t="str">
        <f t="shared" si="0"/>
        <v>SC</v>
      </c>
      <c r="R16" s="708"/>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row>
    <row r="17" spans="1:69" ht="65.25" customHeight="1" thickBot="1">
      <c r="A17" s="681"/>
      <c r="B17" s="1316" t="s">
        <v>514</v>
      </c>
      <c r="C17" s="1319" t="s">
        <v>515</v>
      </c>
      <c r="D17" s="1320"/>
      <c r="E17" s="714" t="s">
        <v>137</v>
      </c>
      <c r="F17" s="715" t="s">
        <v>516</v>
      </c>
      <c r="G17" s="1325" t="s">
        <v>517</v>
      </c>
      <c r="H17" s="1326"/>
      <c r="I17" s="681"/>
      <c r="K17" s="42"/>
      <c r="L17" s="705" t="str">
        <f>IF(AND(N_200&gt;=50,Ll&lt;50,OR(IP&lt;4,AND(IP&lt;0.73*(Ll-20),IP&lt;10))),"ML","")</f>
        <v/>
      </c>
      <c r="M17" s="706"/>
      <c r="N17" s="706"/>
      <c r="O17" s="706"/>
      <c r="P17" s="707" t="str">
        <f>IF(ML&lt;&gt;"",(IF(Retiene_N_200&lt;30,IF(Retiene_N_200&lt;15," - Limo",IF(Retiene_N_200&gt;=15,IF(Arena&gt;=Grava," - Limo con arena",IF(Arena&lt;Grava," - Limo con gava","")),"")),IF(Retiene_N_200&gt;=30,IF(Arena&gt;=Grava,IF(Grava&lt;15," - Limo arenoso",IF(Grava&gt;=15," - Limo con grava","")),IF(Arena&lt;Grava,IF(Grava&lt;15," - Limo gravoso",IF(Grava&gt;=15," - Limo con arena","")),"")),""))),"")</f>
        <v/>
      </c>
      <c r="Q17" s="701" t="str">
        <f t="shared" si="0"/>
        <v/>
      </c>
      <c r="R17" s="708"/>
      <c r="S17" s="44"/>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row>
    <row r="18" spans="1:69" ht="57.75" customHeight="1" thickBot="1">
      <c r="A18" s="681"/>
      <c r="B18" s="1317"/>
      <c r="C18" s="1321"/>
      <c r="D18" s="1322"/>
      <c r="E18" s="714" t="s">
        <v>136</v>
      </c>
      <c r="F18" s="715" t="s">
        <v>518</v>
      </c>
      <c r="G18" s="1327"/>
      <c r="H18" s="1328"/>
      <c r="I18" s="681"/>
      <c r="K18" s="42"/>
      <c r="L18" s="705" t="str">
        <f>IF(AND(N_200&gt;=50,Ll&lt;50,IP&gt;=7,IP&gt;=0.73*(Ll-20)),"CL","")</f>
        <v/>
      </c>
      <c r="M18" s="706"/>
      <c r="N18" s="706"/>
      <c r="O18" s="706"/>
      <c r="P18" s="707" t="str">
        <f>IF(CL&lt;&gt;"",(IF(Retiene_N_200&lt;30,IF(Retiene_N_200&lt;15," - Arcilla de baja plasticidad",IF(Retiene_N_200&gt;=15,IF(Arena&gt;=Grava," - Arcilla de baja plasticidad con arena",IF(Arena&lt;Grava," - Arcilla de baja plasticidad con gava","")),"")),IF(Retiene_N_200&gt;=30,IF(Arena&gt;=Grava,IF(Grava&lt;15," - Arcilla de baja plasticidad arenosa",IF(Grava&gt;=15," - Arcilla de baja plasticidad con grava","")),IF(Arena&lt;Grava,IF(Grava&lt;15," - Arcilla de baja plasticidad con grava",IF(Grava&gt;=15," - Arcilla de baja plasticidad con arena","")),"")),""))),"")</f>
        <v/>
      </c>
      <c r="Q18" s="701" t="str">
        <f t="shared" si="0"/>
        <v/>
      </c>
      <c r="R18" s="708"/>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row>
    <row r="19" spans="1:69" ht="39.75" customHeight="1" thickBot="1">
      <c r="A19" s="681"/>
      <c r="B19" s="1317"/>
      <c r="C19" s="1323"/>
      <c r="D19" s="1324"/>
      <c r="E19" s="714" t="s">
        <v>138</v>
      </c>
      <c r="F19" s="716" t="s">
        <v>519</v>
      </c>
      <c r="G19" s="717"/>
      <c r="H19" s="717"/>
      <c r="I19" s="681"/>
      <c r="K19" s="42"/>
      <c r="L19" s="705" t="str">
        <f>IF(AND(N_200&gt;=50,Ll&lt;50,IP&gt;=10,IP&lt;0.73*(Ll-20)),"OL","")</f>
        <v/>
      </c>
      <c r="M19" s="706"/>
      <c r="N19" s="706"/>
      <c r="O19" s="706"/>
      <c r="P19" s="707" t="str">
        <f>IF(OL&lt;&gt;"",(IF(Retiene_N_200&lt;30,IF(Retiene_N_200&lt;15," - Suelo orgánico",IF(Retiene_N_200&gt;=15,IF(Arena&gt;=Grava," - Suelo orgánico con arena",IF(Arena&lt;Grava," - Suelo orgánico con gava","")),"")),IF(Retiene_N_200&gt;=30,IF(Arena&gt;=Grava,IF(Grava&lt;15," - Suelo orgánico arenoso",IF(Grava&gt;=15," - Suelo orgánico arenoso con grava","")),IF(Arena&lt;Grava,IF(Grava&lt;15," - Suelo orgánico gravoso",IF(Grava&gt;=15," - Suelo orgánico con arena","")),"")),""))),"")</f>
        <v/>
      </c>
      <c r="Q19" s="701" t="str">
        <f t="shared" si="0"/>
        <v/>
      </c>
      <c r="R19" s="708"/>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row>
    <row r="20" spans="1:69" ht="52.5" customHeight="1" thickBot="1">
      <c r="A20" s="681"/>
      <c r="B20" s="1317"/>
      <c r="C20" s="1321" t="s">
        <v>520</v>
      </c>
      <c r="D20" s="1329"/>
      <c r="E20" s="718" t="s">
        <v>140</v>
      </c>
      <c r="F20" s="719" t="s">
        <v>521</v>
      </c>
      <c r="G20" s="681"/>
      <c r="H20" s="681"/>
      <c r="I20" s="681"/>
      <c r="K20" s="42"/>
      <c r="L20" s="705" t="str">
        <f>IF(AND(N_200&gt;=50,Ll&gt;=50,IP&gt;0,IP&lt;=16),"MH","")</f>
        <v/>
      </c>
      <c r="M20" s="706"/>
      <c r="N20" s="706"/>
      <c r="O20" s="706"/>
      <c r="P20" s="707" t="str">
        <f>IF(MH&lt;&gt;"",(IF(Retiene_N_200&lt;30,IF(Retiene_N_200&lt;15," - Limo elástico",IF(Retiene_N_200&gt;=15,IF(Arena&gt;=Grava," - Limo elástico con arena",IF(Arena&lt;Grava," - Limo elástico con gava","")),"")),IF(Retiene_N_200&gt;=30,IF(Arena&gt;=Grava,IF(Grava&lt;15," - Limo elástico arenoso",IF(Grava&gt;=15," - Limo elástico con grava","")),IF(Arena&lt;Grava,IF(Grava&lt;15," - Limo elástico gravoso",IF(Grava&gt;=15," - Limo elástico con arena","")),"")),""))),"")</f>
        <v/>
      </c>
      <c r="Q20" s="701" t="str">
        <f t="shared" si="0"/>
        <v/>
      </c>
      <c r="R20" s="708"/>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row>
    <row r="21" spans="1:69" ht="39" customHeight="1" thickBot="1">
      <c r="A21" s="681"/>
      <c r="B21" s="1317"/>
      <c r="C21" s="1321"/>
      <c r="D21" s="1329"/>
      <c r="E21" s="718" t="s">
        <v>139</v>
      </c>
      <c r="F21" s="719" t="s">
        <v>522</v>
      </c>
      <c r="G21" s="681"/>
      <c r="H21" s="681"/>
      <c r="I21" s="681"/>
      <c r="K21" s="42"/>
      <c r="L21" s="705" t="str">
        <f>IF(AND(N_200&gt;=50,Ll&gt;=50,IP&gt;=0.73*(Ll-20)),"CH","")</f>
        <v/>
      </c>
      <c r="M21" s="706"/>
      <c r="N21" s="706"/>
      <c r="O21" s="706"/>
      <c r="P21" s="707" t="str">
        <f>IF(CH&lt;&gt;"",(IF(Retiene_N_200&lt;30,IF(Retiene_N_200&lt;15," - Arcilla de alta plasticidad",IF(Retiene_N_200&gt;=15,IF(Arena&gt;=Grava," - Arcilla de alta plasticidad con arena",IF(Arena&lt;Grava," - Arcilla de alta plasticidad con gava","")),"")),IF(Retiene_N_200&gt;=30,IF(Arena&gt;=Grava,IF(Grava&lt;15," - Arcilla de alta plasticidad arenosa",IF(Grava&gt;=15," - Arcilla de alta plasticidad con grava","")),IF(Arena&lt;Grava,IF(Grava&lt;15," - Arcilla de alta plasticidad con grava",IF(Grava&gt;=15," - Arcilla de alta plasticidad con arena","")),"")),""))),"")</f>
        <v/>
      </c>
      <c r="Q21" s="701" t="str">
        <f t="shared" si="0"/>
        <v/>
      </c>
      <c r="R21" s="708"/>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row>
    <row r="22" spans="1:69" ht="38.25" customHeight="1" thickBot="1">
      <c r="A22" s="681"/>
      <c r="B22" s="1317"/>
      <c r="C22" s="1323"/>
      <c r="D22" s="1330"/>
      <c r="E22" s="720" t="s">
        <v>141</v>
      </c>
      <c r="F22" s="719" t="s">
        <v>523</v>
      </c>
      <c r="G22" s="681"/>
      <c r="H22" s="681"/>
      <c r="I22" s="681"/>
      <c r="K22" s="42"/>
      <c r="L22" s="705" t="str">
        <f>IF(AND(N_200&gt;=50,Ll&gt;=50,IP&gt;16,IP&lt;0.73*(Ll-20)),"OH","")</f>
        <v/>
      </c>
      <c r="M22" s="706"/>
      <c r="N22" s="706"/>
      <c r="O22" s="706"/>
      <c r="P22" s="707" t="str">
        <f>IF(OH&lt;&gt;"",(IF(Retiene_N_200&lt;30,IF(Retiene_N_200&lt;15," - Suelo orgánico",IF(Retiene_N_200&gt;=15,IF(Arena&gt;=Grava," - Suelo orgánico con arena",IF(Arena&lt;Grava," - Suelo orgánico con gava","")),"")),IF(Retiene_N_200&gt;=30,IF(Arena&gt;=Grava,IF(Grava&lt;15," - Suelo orgánico arenoso",IF(Grava&gt;=15," - Suelo orgánico arenoso con grava","")),IF(Arena&lt;Grava,IF(Grava&lt;15," - Suelo orgánico gravoso",IF(Grava&gt;=15," - Suelo orgánico con arena","")),"")),""))),"")</f>
        <v/>
      </c>
      <c r="Q22" s="701" t="str">
        <f t="shared" si="0"/>
        <v/>
      </c>
      <c r="R22" s="708"/>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row>
    <row r="23" spans="1:69" ht="54" customHeight="1" thickBot="1">
      <c r="A23" s="681"/>
      <c r="B23" s="1317"/>
      <c r="C23" s="1319" t="s">
        <v>524</v>
      </c>
      <c r="D23" s="1320"/>
      <c r="E23" s="1333" t="s">
        <v>142</v>
      </c>
      <c r="F23" s="1335" t="s">
        <v>315</v>
      </c>
      <c r="G23" s="681"/>
      <c r="H23" s="681"/>
      <c r="I23" s="681"/>
      <c r="K23" s="42"/>
      <c r="L23" s="721" t="str">
        <f>IF(AND(N_200&gt;=50,IP&gt;=0.73*(Ll-20),IP&gt;=4,IP&lt;7,IP&lt;0.9*(Ll-8)),"CL-ML","")</f>
        <v/>
      </c>
      <c r="M23" s="722"/>
      <c r="N23" s="722"/>
      <c r="O23" s="722"/>
      <c r="P23" s="723" t="str">
        <f>IF(CLML&lt;&gt;"",(IF(Retiene_N_200&lt;30,IF(Retiene_N_200&lt;15," - Arcilla limosa",IF(Retiene_N_200&gt;=15,IF(Arena&gt;=Grava," - Arcilla limosa con arena",IF(Arena&lt;Grava," - Arcilla limosa con gava","")),"")),IF(Retiene_N_200&gt;=30,IF(Arena&gt;=Grava,IF(Grava&lt;15," - Arcilla limosa arenosa",IF(Grava&gt;=15," - Arcilla limosa arenosa con grava","")),IF(Arena&lt;Grava,IF(Grava&lt;15," - Arcilla limosa con grava ",IF(Grava&gt;=15," - Arcilla limosa, gravosa con arena","")),"")),""))),"")</f>
        <v/>
      </c>
      <c r="Q23" s="701" t="str">
        <f t="shared" si="0"/>
        <v/>
      </c>
      <c r="R23" s="724"/>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row>
    <row r="24" spans="1:69" ht="46.5" customHeight="1">
      <c r="A24" s="681"/>
      <c r="B24" s="1318"/>
      <c r="C24" s="1331"/>
      <c r="D24" s="1332"/>
      <c r="E24" s="1334"/>
      <c r="F24" s="1336"/>
      <c r="G24" s="681"/>
      <c r="H24" s="681"/>
      <c r="I24" s="681"/>
    </row>
    <row r="25" spans="1:69">
      <c r="A25" s="681"/>
      <c r="B25" s="725"/>
      <c r="C25" s="725"/>
      <c r="D25" s="725"/>
      <c r="E25" s="726"/>
      <c r="F25" s="727"/>
      <c r="G25" s="681"/>
      <c r="H25" s="681"/>
      <c r="I25" s="681"/>
    </row>
    <row r="26" spans="1:69">
      <c r="A26" s="681"/>
      <c r="B26" s="725"/>
      <c r="C26" s="725"/>
      <c r="D26" s="725"/>
      <c r="E26" s="728"/>
      <c r="F26" s="727"/>
      <c r="G26" s="681"/>
      <c r="H26" s="681"/>
      <c r="I26" s="681"/>
    </row>
    <row r="27" spans="1:69">
      <c r="A27" s="681"/>
      <c r="B27" s="681"/>
      <c r="C27" s="681"/>
      <c r="D27" s="681"/>
      <c r="E27" s="728"/>
      <c r="F27" s="727"/>
      <c r="G27" s="681"/>
      <c r="H27" s="681"/>
      <c r="I27" s="681"/>
    </row>
    <row r="28" spans="1:69">
      <c r="A28" s="681"/>
      <c r="B28" s="681"/>
      <c r="C28" s="681"/>
      <c r="D28" s="681"/>
      <c r="E28" s="728"/>
      <c r="F28" s="727"/>
      <c r="G28" s="681"/>
      <c r="H28" s="681"/>
      <c r="I28" s="681"/>
    </row>
    <row r="29" spans="1:69">
      <c r="A29" s="681"/>
      <c r="B29" s="681"/>
      <c r="C29" s="681"/>
      <c r="D29" s="681"/>
      <c r="E29" s="728"/>
      <c r="F29" s="727"/>
      <c r="G29" s="681"/>
      <c r="H29" s="681"/>
      <c r="I29" s="681"/>
    </row>
    <row r="30" spans="1:69">
      <c r="F30" s="729"/>
    </row>
    <row r="31" spans="1:69">
      <c r="F31" s="729"/>
    </row>
    <row r="32" spans="1:69">
      <c r="F32" s="729"/>
    </row>
    <row r="33" spans="6:6">
      <c r="F33" s="729"/>
    </row>
    <row r="34" spans="6:6">
      <c r="F34" s="729"/>
    </row>
    <row r="35" spans="6:6">
      <c r="F35" s="729"/>
    </row>
    <row r="36" spans="6:6">
      <c r="F36" s="729"/>
    </row>
    <row r="37" spans="6:6">
      <c r="F37" s="729"/>
    </row>
    <row r="38" spans="6:6">
      <c r="F38" s="729"/>
    </row>
    <row r="39" spans="6:6">
      <c r="F39" s="729"/>
    </row>
    <row r="40" spans="6:6">
      <c r="F40" s="729"/>
    </row>
  </sheetData>
  <mergeCells count="24">
    <mergeCell ref="B1:H1"/>
    <mergeCell ref="B8:D8"/>
    <mergeCell ref="G8:H8"/>
    <mergeCell ref="M8:N8"/>
    <mergeCell ref="B9:B16"/>
    <mergeCell ref="C9:C12"/>
    <mergeCell ref="D9:D10"/>
    <mergeCell ref="G9:H9"/>
    <mergeCell ref="G10:H10"/>
    <mergeCell ref="D11:D12"/>
    <mergeCell ref="H11:H12"/>
    <mergeCell ref="C13:C16"/>
    <mergeCell ref="D13:D14"/>
    <mergeCell ref="G13:H13"/>
    <mergeCell ref="G14:H14"/>
    <mergeCell ref="D15:D16"/>
    <mergeCell ref="H15:H16"/>
    <mergeCell ref="B17:B24"/>
    <mergeCell ref="C17:D19"/>
    <mergeCell ref="G17:H18"/>
    <mergeCell ref="C20:D22"/>
    <mergeCell ref="C23:D24"/>
    <mergeCell ref="E23:E24"/>
    <mergeCell ref="F23:F24"/>
  </mergeCells>
  <pageMargins left="0.78740157480314965" right="0.31496062992125984" top="0.78740157480314965" bottom="0.31496062992125984" header="0" footer="0"/>
  <pageSetup paperSize="9" scale="68" orientation="portrait" r:id="rId1"/>
  <headerFooter alignWithMargins="0"/>
  <colBreaks count="1" manualBreakCount="1">
    <brk id="9" max="1048575"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dimension ref="A1:AA77"/>
  <sheetViews>
    <sheetView workbookViewId="0">
      <selection activeCell="C22" sqref="C22"/>
    </sheetView>
  </sheetViews>
  <sheetFormatPr baseColWidth="10" defaultRowHeight="14.4"/>
  <cols>
    <col min="1" max="1" width="6.109375" style="51" customWidth="1"/>
    <col min="2" max="2" width="20.109375" style="51" customWidth="1"/>
    <col min="3" max="4" width="9" style="51" customWidth="1"/>
    <col min="5" max="5" width="14.44140625" style="51" customWidth="1"/>
    <col min="6" max="6" width="14.33203125" style="51" customWidth="1"/>
    <col min="7" max="8" width="1.44140625" style="51" customWidth="1"/>
    <col min="9" max="11" width="11.44140625" style="51"/>
    <col min="12" max="12" width="32.88671875" style="51" customWidth="1"/>
    <col min="13" max="13" width="1.5546875" style="51" customWidth="1"/>
    <col min="14" max="22" width="7.109375" style="51" hidden="1" customWidth="1"/>
    <col min="23" max="23" width="1.44140625" style="51" hidden="1" customWidth="1"/>
    <col min="24" max="26" width="7.44140625" style="51" hidden="1" customWidth="1"/>
    <col min="27" max="256" width="11.44140625" style="51"/>
    <col min="257" max="257" width="1.5546875" style="51" customWidth="1"/>
    <col min="258" max="258" width="20.109375" style="51" customWidth="1"/>
    <col min="259" max="260" width="9" style="51" customWidth="1"/>
    <col min="261" max="261" width="14.44140625" style="51" customWidth="1"/>
    <col min="262" max="262" width="14.33203125" style="51" customWidth="1"/>
    <col min="263" max="264" width="1.44140625" style="51" customWidth="1"/>
    <col min="265" max="267" width="11.44140625" style="51"/>
    <col min="268" max="268" width="32.88671875" style="51" customWidth="1"/>
    <col min="269" max="269" width="1.5546875" style="51" customWidth="1"/>
    <col min="270" max="282" width="0" style="51" hidden="1" customWidth="1"/>
    <col min="283" max="512" width="11.44140625" style="51"/>
    <col min="513" max="513" width="1.5546875" style="51" customWidth="1"/>
    <col min="514" max="514" width="20.109375" style="51" customWidth="1"/>
    <col min="515" max="516" width="9" style="51" customWidth="1"/>
    <col min="517" max="517" width="14.44140625" style="51" customWidth="1"/>
    <col min="518" max="518" width="14.33203125" style="51" customWidth="1"/>
    <col min="519" max="520" width="1.44140625" style="51" customWidth="1"/>
    <col min="521" max="523" width="11.44140625" style="51"/>
    <col min="524" max="524" width="32.88671875" style="51" customWidth="1"/>
    <col min="525" max="525" width="1.5546875" style="51" customWidth="1"/>
    <col min="526" max="538" width="0" style="51" hidden="1" customWidth="1"/>
    <col min="539" max="768" width="11.44140625" style="51"/>
    <col min="769" max="769" width="1.5546875" style="51" customWidth="1"/>
    <col min="770" max="770" width="20.109375" style="51" customWidth="1"/>
    <col min="771" max="772" width="9" style="51" customWidth="1"/>
    <col min="773" max="773" width="14.44140625" style="51" customWidth="1"/>
    <col min="774" max="774" width="14.33203125" style="51" customWidth="1"/>
    <col min="775" max="776" width="1.44140625" style="51" customWidth="1"/>
    <col min="777" max="779" width="11.44140625" style="51"/>
    <col min="780" max="780" width="32.88671875" style="51" customWidth="1"/>
    <col min="781" max="781" width="1.5546875" style="51" customWidth="1"/>
    <col min="782" max="794" width="0" style="51" hidden="1" customWidth="1"/>
    <col min="795" max="1024" width="11.44140625" style="51"/>
    <col min="1025" max="1025" width="1.5546875" style="51" customWidth="1"/>
    <col min="1026" max="1026" width="20.109375" style="51" customWidth="1"/>
    <col min="1027" max="1028" width="9" style="51" customWidth="1"/>
    <col min="1029" max="1029" width="14.44140625" style="51" customWidth="1"/>
    <col min="1030" max="1030" width="14.33203125" style="51" customWidth="1"/>
    <col min="1031" max="1032" width="1.44140625" style="51" customWidth="1"/>
    <col min="1033" max="1035" width="11.44140625" style="51"/>
    <col min="1036" max="1036" width="32.88671875" style="51" customWidth="1"/>
    <col min="1037" max="1037" width="1.5546875" style="51" customWidth="1"/>
    <col min="1038" max="1050" width="0" style="51" hidden="1" customWidth="1"/>
    <col min="1051" max="1280" width="11.44140625" style="51"/>
    <col min="1281" max="1281" width="1.5546875" style="51" customWidth="1"/>
    <col min="1282" max="1282" width="20.109375" style="51" customWidth="1"/>
    <col min="1283" max="1284" width="9" style="51" customWidth="1"/>
    <col min="1285" max="1285" width="14.44140625" style="51" customWidth="1"/>
    <col min="1286" max="1286" width="14.33203125" style="51" customWidth="1"/>
    <col min="1287" max="1288" width="1.44140625" style="51" customWidth="1"/>
    <col min="1289" max="1291" width="11.44140625" style="51"/>
    <col min="1292" max="1292" width="32.88671875" style="51" customWidth="1"/>
    <col min="1293" max="1293" width="1.5546875" style="51" customWidth="1"/>
    <col min="1294" max="1306" width="0" style="51" hidden="1" customWidth="1"/>
    <col min="1307" max="1536" width="11.44140625" style="51"/>
    <col min="1537" max="1537" width="1.5546875" style="51" customWidth="1"/>
    <col min="1538" max="1538" width="20.109375" style="51" customWidth="1"/>
    <col min="1539" max="1540" width="9" style="51" customWidth="1"/>
    <col min="1541" max="1541" width="14.44140625" style="51" customWidth="1"/>
    <col min="1542" max="1542" width="14.33203125" style="51" customWidth="1"/>
    <col min="1543" max="1544" width="1.44140625" style="51" customWidth="1"/>
    <col min="1545" max="1547" width="11.44140625" style="51"/>
    <col min="1548" max="1548" width="32.88671875" style="51" customWidth="1"/>
    <col min="1549" max="1549" width="1.5546875" style="51" customWidth="1"/>
    <col min="1550" max="1562" width="0" style="51" hidden="1" customWidth="1"/>
    <col min="1563" max="1792" width="11.44140625" style="51"/>
    <col min="1793" max="1793" width="1.5546875" style="51" customWidth="1"/>
    <col min="1794" max="1794" width="20.109375" style="51" customWidth="1"/>
    <col min="1795" max="1796" width="9" style="51" customWidth="1"/>
    <col min="1797" max="1797" width="14.44140625" style="51" customWidth="1"/>
    <col min="1798" max="1798" width="14.33203125" style="51" customWidth="1"/>
    <col min="1799" max="1800" width="1.44140625" style="51" customWidth="1"/>
    <col min="1801" max="1803" width="11.44140625" style="51"/>
    <col min="1804" max="1804" width="32.88671875" style="51" customWidth="1"/>
    <col min="1805" max="1805" width="1.5546875" style="51" customWidth="1"/>
    <col min="1806" max="1818" width="0" style="51" hidden="1" customWidth="1"/>
    <col min="1819" max="2048" width="11.44140625" style="51"/>
    <col min="2049" max="2049" width="1.5546875" style="51" customWidth="1"/>
    <col min="2050" max="2050" width="20.109375" style="51" customWidth="1"/>
    <col min="2051" max="2052" width="9" style="51" customWidth="1"/>
    <col min="2053" max="2053" width="14.44140625" style="51" customWidth="1"/>
    <col min="2054" max="2054" width="14.33203125" style="51" customWidth="1"/>
    <col min="2055" max="2056" width="1.44140625" style="51" customWidth="1"/>
    <col min="2057" max="2059" width="11.44140625" style="51"/>
    <col min="2060" max="2060" width="32.88671875" style="51" customWidth="1"/>
    <col min="2061" max="2061" width="1.5546875" style="51" customWidth="1"/>
    <col min="2062" max="2074" width="0" style="51" hidden="1" customWidth="1"/>
    <col min="2075" max="2304" width="11.44140625" style="51"/>
    <col min="2305" max="2305" width="1.5546875" style="51" customWidth="1"/>
    <col min="2306" max="2306" width="20.109375" style="51" customWidth="1"/>
    <col min="2307" max="2308" width="9" style="51" customWidth="1"/>
    <col min="2309" max="2309" width="14.44140625" style="51" customWidth="1"/>
    <col min="2310" max="2310" width="14.33203125" style="51" customWidth="1"/>
    <col min="2311" max="2312" width="1.44140625" style="51" customWidth="1"/>
    <col min="2313" max="2315" width="11.44140625" style="51"/>
    <col min="2316" max="2316" width="32.88671875" style="51" customWidth="1"/>
    <col min="2317" max="2317" width="1.5546875" style="51" customWidth="1"/>
    <col min="2318" max="2330" width="0" style="51" hidden="1" customWidth="1"/>
    <col min="2331" max="2560" width="11.44140625" style="51"/>
    <col min="2561" max="2561" width="1.5546875" style="51" customWidth="1"/>
    <col min="2562" max="2562" width="20.109375" style="51" customWidth="1"/>
    <col min="2563" max="2564" width="9" style="51" customWidth="1"/>
    <col min="2565" max="2565" width="14.44140625" style="51" customWidth="1"/>
    <col min="2566" max="2566" width="14.33203125" style="51" customWidth="1"/>
    <col min="2567" max="2568" width="1.44140625" style="51" customWidth="1"/>
    <col min="2569" max="2571" width="11.44140625" style="51"/>
    <col min="2572" max="2572" width="32.88671875" style="51" customWidth="1"/>
    <col min="2573" max="2573" width="1.5546875" style="51" customWidth="1"/>
    <col min="2574" max="2586" width="0" style="51" hidden="1" customWidth="1"/>
    <col min="2587" max="2816" width="11.44140625" style="51"/>
    <col min="2817" max="2817" width="1.5546875" style="51" customWidth="1"/>
    <col min="2818" max="2818" width="20.109375" style="51" customWidth="1"/>
    <col min="2819" max="2820" width="9" style="51" customWidth="1"/>
    <col min="2821" max="2821" width="14.44140625" style="51" customWidth="1"/>
    <col min="2822" max="2822" width="14.33203125" style="51" customWidth="1"/>
    <col min="2823" max="2824" width="1.44140625" style="51" customWidth="1"/>
    <col min="2825" max="2827" width="11.44140625" style="51"/>
    <col min="2828" max="2828" width="32.88671875" style="51" customWidth="1"/>
    <col min="2829" max="2829" width="1.5546875" style="51" customWidth="1"/>
    <col min="2830" max="2842" width="0" style="51" hidden="1" customWidth="1"/>
    <col min="2843" max="3072" width="11.44140625" style="51"/>
    <col min="3073" max="3073" width="1.5546875" style="51" customWidth="1"/>
    <col min="3074" max="3074" width="20.109375" style="51" customWidth="1"/>
    <col min="3075" max="3076" width="9" style="51" customWidth="1"/>
    <col min="3077" max="3077" width="14.44140625" style="51" customWidth="1"/>
    <col min="3078" max="3078" width="14.33203125" style="51" customWidth="1"/>
    <col min="3079" max="3080" width="1.44140625" style="51" customWidth="1"/>
    <col min="3081" max="3083" width="11.44140625" style="51"/>
    <col min="3084" max="3084" width="32.88671875" style="51" customWidth="1"/>
    <col min="3085" max="3085" width="1.5546875" style="51" customWidth="1"/>
    <col min="3086" max="3098" width="0" style="51" hidden="1" customWidth="1"/>
    <col min="3099" max="3328" width="11.44140625" style="51"/>
    <col min="3329" max="3329" width="1.5546875" style="51" customWidth="1"/>
    <col min="3330" max="3330" width="20.109375" style="51" customWidth="1"/>
    <col min="3331" max="3332" width="9" style="51" customWidth="1"/>
    <col min="3333" max="3333" width="14.44140625" style="51" customWidth="1"/>
    <col min="3334" max="3334" width="14.33203125" style="51" customWidth="1"/>
    <col min="3335" max="3336" width="1.44140625" style="51" customWidth="1"/>
    <col min="3337" max="3339" width="11.44140625" style="51"/>
    <col min="3340" max="3340" width="32.88671875" style="51" customWidth="1"/>
    <col min="3341" max="3341" width="1.5546875" style="51" customWidth="1"/>
    <col min="3342" max="3354" width="0" style="51" hidden="1" customWidth="1"/>
    <col min="3355" max="3584" width="11.44140625" style="51"/>
    <col min="3585" max="3585" width="1.5546875" style="51" customWidth="1"/>
    <col min="3586" max="3586" width="20.109375" style="51" customWidth="1"/>
    <col min="3587" max="3588" width="9" style="51" customWidth="1"/>
    <col min="3589" max="3589" width="14.44140625" style="51" customWidth="1"/>
    <col min="3590" max="3590" width="14.33203125" style="51" customWidth="1"/>
    <col min="3591" max="3592" width="1.44140625" style="51" customWidth="1"/>
    <col min="3593" max="3595" width="11.44140625" style="51"/>
    <col min="3596" max="3596" width="32.88671875" style="51" customWidth="1"/>
    <col min="3597" max="3597" width="1.5546875" style="51" customWidth="1"/>
    <col min="3598" max="3610" width="0" style="51" hidden="1" customWidth="1"/>
    <col min="3611" max="3840" width="11.44140625" style="51"/>
    <col min="3841" max="3841" width="1.5546875" style="51" customWidth="1"/>
    <col min="3842" max="3842" width="20.109375" style="51" customWidth="1"/>
    <col min="3843" max="3844" width="9" style="51" customWidth="1"/>
    <col min="3845" max="3845" width="14.44140625" style="51" customWidth="1"/>
    <col min="3846" max="3846" width="14.33203125" style="51" customWidth="1"/>
    <col min="3847" max="3848" width="1.44140625" style="51" customWidth="1"/>
    <col min="3849" max="3851" width="11.44140625" style="51"/>
    <col min="3852" max="3852" width="32.88671875" style="51" customWidth="1"/>
    <col min="3853" max="3853" width="1.5546875" style="51" customWidth="1"/>
    <col min="3854" max="3866" width="0" style="51" hidden="1" customWidth="1"/>
    <col min="3867" max="4096" width="11.44140625" style="51"/>
    <col min="4097" max="4097" width="1.5546875" style="51" customWidth="1"/>
    <col min="4098" max="4098" width="20.109375" style="51" customWidth="1"/>
    <col min="4099" max="4100" width="9" style="51" customWidth="1"/>
    <col min="4101" max="4101" width="14.44140625" style="51" customWidth="1"/>
    <col min="4102" max="4102" width="14.33203125" style="51" customWidth="1"/>
    <col min="4103" max="4104" width="1.44140625" style="51" customWidth="1"/>
    <col min="4105" max="4107" width="11.44140625" style="51"/>
    <col min="4108" max="4108" width="32.88671875" style="51" customWidth="1"/>
    <col min="4109" max="4109" width="1.5546875" style="51" customWidth="1"/>
    <col min="4110" max="4122" width="0" style="51" hidden="1" customWidth="1"/>
    <col min="4123" max="4352" width="11.44140625" style="51"/>
    <col min="4353" max="4353" width="1.5546875" style="51" customWidth="1"/>
    <col min="4354" max="4354" width="20.109375" style="51" customWidth="1"/>
    <col min="4355" max="4356" width="9" style="51" customWidth="1"/>
    <col min="4357" max="4357" width="14.44140625" style="51" customWidth="1"/>
    <col min="4358" max="4358" width="14.33203125" style="51" customWidth="1"/>
    <col min="4359" max="4360" width="1.44140625" style="51" customWidth="1"/>
    <col min="4361" max="4363" width="11.44140625" style="51"/>
    <col min="4364" max="4364" width="32.88671875" style="51" customWidth="1"/>
    <col min="4365" max="4365" width="1.5546875" style="51" customWidth="1"/>
    <col min="4366" max="4378" width="0" style="51" hidden="1" customWidth="1"/>
    <col min="4379" max="4608" width="11.44140625" style="51"/>
    <col min="4609" max="4609" width="1.5546875" style="51" customWidth="1"/>
    <col min="4610" max="4610" width="20.109375" style="51" customWidth="1"/>
    <col min="4611" max="4612" width="9" style="51" customWidth="1"/>
    <col min="4613" max="4613" width="14.44140625" style="51" customWidth="1"/>
    <col min="4614" max="4614" width="14.33203125" style="51" customWidth="1"/>
    <col min="4615" max="4616" width="1.44140625" style="51" customWidth="1"/>
    <col min="4617" max="4619" width="11.44140625" style="51"/>
    <col min="4620" max="4620" width="32.88671875" style="51" customWidth="1"/>
    <col min="4621" max="4621" width="1.5546875" style="51" customWidth="1"/>
    <col min="4622" max="4634" width="0" style="51" hidden="1" customWidth="1"/>
    <col min="4635" max="4864" width="11.44140625" style="51"/>
    <col min="4865" max="4865" width="1.5546875" style="51" customWidth="1"/>
    <col min="4866" max="4866" width="20.109375" style="51" customWidth="1"/>
    <col min="4867" max="4868" width="9" style="51" customWidth="1"/>
    <col min="4869" max="4869" width="14.44140625" style="51" customWidth="1"/>
    <col min="4870" max="4870" width="14.33203125" style="51" customWidth="1"/>
    <col min="4871" max="4872" width="1.44140625" style="51" customWidth="1"/>
    <col min="4873" max="4875" width="11.44140625" style="51"/>
    <col min="4876" max="4876" width="32.88671875" style="51" customWidth="1"/>
    <col min="4877" max="4877" width="1.5546875" style="51" customWidth="1"/>
    <col min="4878" max="4890" width="0" style="51" hidden="1" customWidth="1"/>
    <col min="4891" max="5120" width="11.44140625" style="51"/>
    <col min="5121" max="5121" width="1.5546875" style="51" customWidth="1"/>
    <col min="5122" max="5122" width="20.109375" style="51" customWidth="1"/>
    <col min="5123" max="5124" width="9" style="51" customWidth="1"/>
    <col min="5125" max="5125" width="14.44140625" style="51" customWidth="1"/>
    <col min="5126" max="5126" width="14.33203125" style="51" customWidth="1"/>
    <col min="5127" max="5128" width="1.44140625" style="51" customWidth="1"/>
    <col min="5129" max="5131" width="11.44140625" style="51"/>
    <col min="5132" max="5132" width="32.88671875" style="51" customWidth="1"/>
    <col min="5133" max="5133" width="1.5546875" style="51" customWidth="1"/>
    <col min="5134" max="5146" width="0" style="51" hidden="1" customWidth="1"/>
    <col min="5147" max="5376" width="11.44140625" style="51"/>
    <col min="5377" max="5377" width="1.5546875" style="51" customWidth="1"/>
    <col min="5378" max="5378" width="20.109375" style="51" customWidth="1"/>
    <col min="5379" max="5380" width="9" style="51" customWidth="1"/>
    <col min="5381" max="5381" width="14.44140625" style="51" customWidth="1"/>
    <col min="5382" max="5382" width="14.33203125" style="51" customWidth="1"/>
    <col min="5383" max="5384" width="1.44140625" style="51" customWidth="1"/>
    <col min="5385" max="5387" width="11.44140625" style="51"/>
    <col min="5388" max="5388" width="32.88671875" style="51" customWidth="1"/>
    <col min="5389" max="5389" width="1.5546875" style="51" customWidth="1"/>
    <col min="5390" max="5402" width="0" style="51" hidden="1" customWidth="1"/>
    <col min="5403" max="5632" width="11.44140625" style="51"/>
    <col min="5633" max="5633" width="1.5546875" style="51" customWidth="1"/>
    <col min="5634" max="5634" width="20.109375" style="51" customWidth="1"/>
    <col min="5635" max="5636" width="9" style="51" customWidth="1"/>
    <col min="5637" max="5637" width="14.44140625" style="51" customWidth="1"/>
    <col min="5638" max="5638" width="14.33203125" style="51" customWidth="1"/>
    <col min="5639" max="5640" width="1.44140625" style="51" customWidth="1"/>
    <col min="5641" max="5643" width="11.44140625" style="51"/>
    <col min="5644" max="5644" width="32.88671875" style="51" customWidth="1"/>
    <col min="5645" max="5645" width="1.5546875" style="51" customWidth="1"/>
    <col min="5646" max="5658" width="0" style="51" hidden="1" customWidth="1"/>
    <col min="5659" max="5888" width="11.44140625" style="51"/>
    <col min="5889" max="5889" width="1.5546875" style="51" customWidth="1"/>
    <col min="5890" max="5890" width="20.109375" style="51" customWidth="1"/>
    <col min="5891" max="5892" width="9" style="51" customWidth="1"/>
    <col min="5893" max="5893" width="14.44140625" style="51" customWidth="1"/>
    <col min="5894" max="5894" width="14.33203125" style="51" customWidth="1"/>
    <col min="5895" max="5896" width="1.44140625" style="51" customWidth="1"/>
    <col min="5897" max="5899" width="11.44140625" style="51"/>
    <col min="5900" max="5900" width="32.88671875" style="51" customWidth="1"/>
    <col min="5901" max="5901" width="1.5546875" style="51" customWidth="1"/>
    <col min="5902" max="5914" width="0" style="51" hidden="1" customWidth="1"/>
    <col min="5915" max="6144" width="11.44140625" style="51"/>
    <col min="6145" max="6145" width="1.5546875" style="51" customWidth="1"/>
    <col min="6146" max="6146" width="20.109375" style="51" customWidth="1"/>
    <col min="6147" max="6148" width="9" style="51" customWidth="1"/>
    <col min="6149" max="6149" width="14.44140625" style="51" customWidth="1"/>
    <col min="6150" max="6150" width="14.33203125" style="51" customWidth="1"/>
    <col min="6151" max="6152" width="1.44140625" style="51" customWidth="1"/>
    <col min="6153" max="6155" width="11.44140625" style="51"/>
    <col min="6156" max="6156" width="32.88671875" style="51" customWidth="1"/>
    <col min="6157" max="6157" width="1.5546875" style="51" customWidth="1"/>
    <col min="6158" max="6170" width="0" style="51" hidden="1" customWidth="1"/>
    <col min="6171" max="6400" width="11.44140625" style="51"/>
    <col min="6401" max="6401" width="1.5546875" style="51" customWidth="1"/>
    <col min="6402" max="6402" width="20.109375" style="51" customWidth="1"/>
    <col min="6403" max="6404" width="9" style="51" customWidth="1"/>
    <col min="6405" max="6405" width="14.44140625" style="51" customWidth="1"/>
    <col min="6406" max="6406" width="14.33203125" style="51" customWidth="1"/>
    <col min="6407" max="6408" width="1.44140625" style="51" customWidth="1"/>
    <col min="6409" max="6411" width="11.44140625" style="51"/>
    <col min="6412" max="6412" width="32.88671875" style="51" customWidth="1"/>
    <col min="6413" max="6413" width="1.5546875" style="51" customWidth="1"/>
    <col min="6414" max="6426" width="0" style="51" hidden="1" customWidth="1"/>
    <col min="6427" max="6656" width="11.44140625" style="51"/>
    <col min="6657" max="6657" width="1.5546875" style="51" customWidth="1"/>
    <col min="6658" max="6658" width="20.109375" style="51" customWidth="1"/>
    <col min="6659" max="6660" width="9" style="51" customWidth="1"/>
    <col min="6661" max="6661" width="14.44140625" style="51" customWidth="1"/>
    <col min="6662" max="6662" width="14.33203125" style="51" customWidth="1"/>
    <col min="6663" max="6664" width="1.44140625" style="51" customWidth="1"/>
    <col min="6665" max="6667" width="11.44140625" style="51"/>
    <col min="6668" max="6668" width="32.88671875" style="51" customWidth="1"/>
    <col min="6669" max="6669" width="1.5546875" style="51" customWidth="1"/>
    <col min="6670" max="6682" width="0" style="51" hidden="1" customWidth="1"/>
    <col min="6683" max="6912" width="11.44140625" style="51"/>
    <col min="6913" max="6913" width="1.5546875" style="51" customWidth="1"/>
    <col min="6914" max="6914" width="20.109375" style="51" customWidth="1"/>
    <col min="6915" max="6916" width="9" style="51" customWidth="1"/>
    <col min="6917" max="6917" width="14.44140625" style="51" customWidth="1"/>
    <col min="6918" max="6918" width="14.33203125" style="51" customWidth="1"/>
    <col min="6919" max="6920" width="1.44140625" style="51" customWidth="1"/>
    <col min="6921" max="6923" width="11.44140625" style="51"/>
    <col min="6924" max="6924" width="32.88671875" style="51" customWidth="1"/>
    <col min="6925" max="6925" width="1.5546875" style="51" customWidth="1"/>
    <col min="6926" max="6938" width="0" style="51" hidden="1" customWidth="1"/>
    <col min="6939" max="7168" width="11.44140625" style="51"/>
    <col min="7169" max="7169" width="1.5546875" style="51" customWidth="1"/>
    <col min="7170" max="7170" width="20.109375" style="51" customWidth="1"/>
    <col min="7171" max="7172" width="9" style="51" customWidth="1"/>
    <col min="7173" max="7173" width="14.44140625" style="51" customWidth="1"/>
    <col min="7174" max="7174" width="14.33203125" style="51" customWidth="1"/>
    <col min="7175" max="7176" width="1.44140625" style="51" customWidth="1"/>
    <col min="7177" max="7179" width="11.44140625" style="51"/>
    <col min="7180" max="7180" width="32.88671875" style="51" customWidth="1"/>
    <col min="7181" max="7181" width="1.5546875" style="51" customWidth="1"/>
    <col min="7182" max="7194" width="0" style="51" hidden="1" customWidth="1"/>
    <col min="7195" max="7424" width="11.44140625" style="51"/>
    <col min="7425" max="7425" width="1.5546875" style="51" customWidth="1"/>
    <col min="7426" max="7426" width="20.109375" style="51" customWidth="1"/>
    <col min="7427" max="7428" width="9" style="51" customWidth="1"/>
    <col min="7429" max="7429" width="14.44140625" style="51" customWidth="1"/>
    <col min="7430" max="7430" width="14.33203125" style="51" customWidth="1"/>
    <col min="7431" max="7432" width="1.44140625" style="51" customWidth="1"/>
    <col min="7433" max="7435" width="11.44140625" style="51"/>
    <col min="7436" max="7436" width="32.88671875" style="51" customWidth="1"/>
    <col min="7437" max="7437" width="1.5546875" style="51" customWidth="1"/>
    <col min="7438" max="7450" width="0" style="51" hidden="1" customWidth="1"/>
    <col min="7451" max="7680" width="11.44140625" style="51"/>
    <col min="7681" max="7681" width="1.5546875" style="51" customWidth="1"/>
    <col min="7682" max="7682" width="20.109375" style="51" customWidth="1"/>
    <col min="7683" max="7684" width="9" style="51" customWidth="1"/>
    <col min="7685" max="7685" width="14.44140625" style="51" customWidth="1"/>
    <col min="7686" max="7686" width="14.33203125" style="51" customWidth="1"/>
    <col min="7687" max="7688" width="1.44140625" style="51" customWidth="1"/>
    <col min="7689" max="7691" width="11.44140625" style="51"/>
    <col min="7692" max="7692" width="32.88671875" style="51" customWidth="1"/>
    <col min="7693" max="7693" width="1.5546875" style="51" customWidth="1"/>
    <col min="7694" max="7706" width="0" style="51" hidden="1" customWidth="1"/>
    <col min="7707" max="7936" width="11.44140625" style="51"/>
    <col min="7937" max="7937" width="1.5546875" style="51" customWidth="1"/>
    <col min="7938" max="7938" width="20.109375" style="51" customWidth="1"/>
    <col min="7939" max="7940" width="9" style="51" customWidth="1"/>
    <col min="7941" max="7941" width="14.44140625" style="51" customWidth="1"/>
    <col min="7942" max="7942" width="14.33203125" style="51" customWidth="1"/>
    <col min="7943" max="7944" width="1.44140625" style="51" customWidth="1"/>
    <col min="7945" max="7947" width="11.44140625" style="51"/>
    <col min="7948" max="7948" width="32.88671875" style="51" customWidth="1"/>
    <col min="7949" max="7949" width="1.5546875" style="51" customWidth="1"/>
    <col min="7950" max="7962" width="0" style="51" hidden="1" customWidth="1"/>
    <col min="7963" max="8192" width="11.44140625" style="51"/>
    <col min="8193" max="8193" width="1.5546875" style="51" customWidth="1"/>
    <col min="8194" max="8194" width="20.109375" style="51" customWidth="1"/>
    <col min="8195" max="8196" width="9" style="51" customWidth="1"/>
    <col min="8197" max="8197" width="14.44140625" style="51" customWidth="1"/>
    <col min="8198" max="8198" width="14.33203125" style="51" customWidth="1"/>
    <col min="8199" max="8200" width="1.44140625" style="51" customWidth="1"/>
    <col min="8201" max="8203" width="11.44140625" style="51"/>
    <col min="8204" max="8204" width="32.88671875" style="51" customWidth="1"/>
    <col min="8205" max="8205" width="1.5546875" style="51" customWidth="1"/>
    <col min="8206" max="8218" width="0" style="51" hidden="1" customWidth="1"/>
    <col min="8219" max="8448" width="11.44140625" style="51"/>
    <col min="8449" max="8449" width="1.5546875" style="51" customWidth="1"/>
    <col min="8450" max="8450" width="20.109375" style="51" customWidth="1"/>
    <col min="8451" max="8452" width="9" style="51" customWidth="1"/>
    <col min="8453" max="8453" width="14.44140625" style="51" customWidth="1"/>
    <col min="8454" max="8454" width="14.33203125" style="51" customWidth="1"/>
    <col min="8455" max="8456" width="1.44140625" style="51" customWidth="1"/>
    <col min="8457" max="8459" width="11.44140625" style="51"/>
    <col min="8460" max="8460" width="32.88671875" style="51" customWidth="1"/>
    <col min="8461" max="8461" width="1.5546875" style="51" customWidth="1"/>
    <col min="8462" max="8474" width="0" style="51" hidden="1" customWidth="1"/>
    <col min="8475" max="8704" width="11.44140625" style="51"/>
    <col min="8705" max="8705" width="1.5546875" style="51" customWidth="1"/>
    <col min="8706" max="8706" width="20.109375" style="51" customWidth="1"/>
    <col min="8707" max="8708" width="9" style="51" customWidth="1"/>
    <col min="8709" max="8709" width="14.44140625" style="51" customWidth="1"/>
    <col min="8710" max="8710" width="14.33203125" style="51" customWidth="1"/>
    <col min="8711" max="8712" width="1.44140625" style="51" customWidth="1"/>
    <col min="8713" max="8715" width="11.44140625" style="51"/>
    <col min="8716" max="8716" width="32.88671875" style="51" customWidth="1"/>
    <col min="8717" max="8717" width="1.5546875" style="51" customWidth="1"/>
    <col min="8718" max="8730" width="0" style="51" hidden="1" customWidth="1"/>
    <col min="8731" max="8960" width="11.44140625" style="51"/>
    <col min="8961" max="8961" width="1.5546875" style="51" customWidth="1"/>
    <col min="8962" max="8962" width="20.109375" style="51" customWidth="1"/>
    <col min="8963" max="8964" width="9" style="51" customWidth="1"/>
    <col min="8965" max="8965" width="14.44140625" style="51" customWidth="1"/>
    <col min="8966" max="8966" width="14.33203125" style="51" customWidth="1"/>
    <col min="8967" max="8968" width="1.44140625" style="51" customWidth="1"/>
    <col min="8969" max="8971" width="11.44140625" style="51"/>
    <col min="8972" max="8972" width="32.88671875" style="51" customWidth="1"/>
    <col min="8973" max="8973" width="1.5546875" style="51" customWidth="1"/>
    <col min="8974" max="8986" width="0" style="51" hidden="1" customWidth="1"/>
    <col min="8987" max="9216" width="11.44140625" style="51"/>
    <col min="9217" max="9217" width="1.5546875" style="51" customWidth="1"/>
    <col min="9218" max="9218" width="20.109375" style="51" customWidth="1"/>
    <col min="9219" max="9220" width="9" style="51" customWidth="1"/>
    <col min="9221" max="9221" width="14.44140625" style="51" customWidth="1"/>
    <col min="9222" max="9222" width="14.33203125" style="51" customWidth="1"/>
    <col min="9223" max="9224" width="1.44140625" style="51" customWidth="1"/>
    <col min="9225" max="9227" width="11.44140625" style="51"/>
    <col min="9228" max="9228" width="32.88671875" style="51" customWidth="1"/>
    <col min="9229" max="9229" width="1.5546875" style="51" customWidth="1"/>
    <col min="9230" max="9242" width="0" style="51" hidden="1" customWidth="1"/>
    <col min="9243" max="9472" width="11.44140625" style="51"/>
    <col min="9473" max="9473" width="1.5546875" style="51" customWidth="1"/>
    <col min="9474" max="9474" width="20.109375" style="51" customWidth="1"/>
    <col min="9475" max="9476" width="9" style="51" customWidth="1"/>
    <col min="9477" max="9477" width="14.44140625" style="51" customWidth="1"/>
    <col min="9478" max="9478" width="14.33203125" style="51" customWidth="1"/>
    <col min="9479" max="9480" width="1.44140625" style="51" customWidth="1"/>
    <col min="9481" max="9483" width="11.44140625" style="51"/>
    <col min="9484" max="9484" width="32.88671875" style="51" customWidth="1"/>
    <col min="9485" max="9485" width="1.5546875" style="51" customWidth="1"/>
    <col min="9486" max="9498" width="0" style="51" hidden="1" customWidth="1"/>
    <col min="9499" max="9728" width="11.44140625" style="51"/>
    <col min="9729" max="9729" width="1.5546875" style="51" customWidth="1"/>
    <col min="9730" max="9730" width="20.109375" style="51" customWidth="1"/>
    <col min="9731" max="9732" width="9" style="51" customWidth="1"/>
    <col min="9733" max="9733" width="14.44140625" style="51" customWidth="1"/>
    <col min="9734" max="9734" width="14.33203125" style="51" customWidth="1"/>
    <col min="9735" max="9736" width="1.44140625" style="51" customWidth="1"/>
    <col min="9737" max="9739" width="11.44140625" style="51"/>
    <col min="9740" max="9740" width="32.88671875" style="51" customWidth="1"/>
    <col min="9741" max="9741" width="1.5546875" style="51" customWidth="1"/>
    <col min="9742" max="9754" width="0" style="51" hidden="1" customWidth="1"/>
    <col min="9755" max="9984" width="11.44140625" style="51"/>
    <col min="9985" max="9985" width="1.5546875" style="51" customWidth="1"/>
    <col min="9986" max="9986" width="20.109375" style="51" customWidth="1"/>
    <col min="9987" max="9988" width="9" style="51" customWidth="1"/>
    <col min="9989" max="9989" width="14.44140625" style="51" customWidth="1"/>
    <col min="9990" max="9990" width="14.33203125" style="51" customWidth="1"/>
    <col min="9991" max="9992" width="1.44140625" style="51" customWidth="1"/>
    <col min="9993" max="9995" width="11.44140625" style="51"/>
    <col min="9996" max="9996" width="32.88671875" style="51" customWidth="1"/>
    <col min="9997" max="9997" width="1.5546875" style="51" customWidth="1"/>
    <col min="9998" max="10010" width="0" style="51" hidden="1" customWidth="1"/>
    <col min="10011" max="10240" width="11.44140625" style="51"/>
    <col min="10241" max="10241" width="1.5546875" style="51" customWidth="1"/>
    <col min="10242" max="10242" width="20.109375" style="51" customWidth="1"/>
    <col min="10243" max="10244" width="9" style="51" customWidth="1"/>
    <col min="10245" max="10245" width="14.44140625" style="51" customWidth="1"/>
    <col min="10246" max="10246" width="14.33203125" style="51" customWidth="1"/>
    <col min="10247" max="10248" width="1.44140625" style="51" customWidth="1"/>
    <col min="10249" max="10251" width="11.44140625" style="51"/>
    <col min="10252" max="10252" width="32.88671875" style="51" customWidth="1"/>
    <col min="10253" max="10253" width="1.5546875" style="51" customWidth="1"/>
    <col min="10254" max="10266" width="0" style="51" hidden="1" customWidth="1"/>
    <col min="10267" max="10496" width="11.44140625" style="51"/>
    <col min="10497" max="10497" width="1.5546875" style="51" customWidth="1"/>
    <col min="10498" max="10498" width="20.109375" style="51" customWidth="1"/>
    <col min="10499" max="10500" width="9" style="51" customWidth="1"/>
    <col min="10501" max="10501" width="14.44140625" style="51" customWidth="1"/>
    <col min="10502" max="10502" width="14.33203125" style="51" customWidth="1"/>
    <col min="10503" max="10504" width="1.44140625" style="51" customWidth="1"/>
    <col min="10505" max="10507" width="11.44140625" style="51"/>
    <col min="10508" max="10508" width="32.88671875" style="51" customWidth="1"/>
    <col min="10509" max="10509" width="1.5546875" style="51" customWidth="1"/>
    <col min="10510" max="10522" width="0" style="51" hidden="1" customWidth="1"/>
    <col min="10523" max="10752" width="11.44140625" style="51"/>
    <col min="10753" max="10753" width="1.5546875" style="51" customWidth="1"/>
    <col min="10754" max="10754" width="20.109375" style="51" customWidth="1"/>
    <col min="10755" max="10756" width="9" style="51" customWidth="1"/>
    <col min="10757" max="10757" width="14.44140625" style="51" customWidth="1"/>
    <col min="10758" max="10758" width="14.33203125" style="51" customWidth="1"/>
    <col min="10759" max="10760" width="1.44140625" style="51" customWidth="1"/>
    <col min="10761" max="10763" width="11.44140625" style="51"/>
    <col min="10764" max="10764" width="32.88671875" style="51" customWidth="1"/>
    <col min="10765" max="10765" width="1.5546875" style="51" customWidth="1"/>
    <col min="10766" max="10778" width="0" style="51" hidden="1" customWidth="1"/>
    <col min="10779" max="11008" width="11.44140625" style="51"/>
    <col min="11009" max="11009" width="1.5546875" style="51" customWidth="1"/>
    <col min="11010" max="11010" width="20.109375" style="51" customWidth="1"/>
    <col min="11011" max="11012" width="9" style="51" customWidth="1"/>
    <col min="11013" max="11013" width="14.44140625" style="51" customWidth="1"/>
    <col min="11014" max="11014" width="14.33203125" style="51" customWidth="1"/>
    <col min="11015" max="11016" width="1.44140625" style="51" customWidth="1"/>
    <col min="11017" max="11019" width="11.44140625" style="51"/>
    <col min="11020" max="11020" width="32.88671875" style="51" customWidth="1"/>
    <col min="11021" max="11021" width="1.5546875" style="51" customWidth="1"/>
    <col min="11022" max="11034" width="0" style="51" hidden="1" customWidth="1"/>
    <col min="11035" max="11264" width="11.44140625" style="51"/>
    <col min="11265" max="11265" width="1.5546875" style="51" customWidth="1"/>
    <col min="11266" max="11266" width="20.109375" style="51" customWidth="1"/>
    <col min="11267" max="11268" width="9" style="51" customWidth="1"/>
    <col min="11269" max="11269" width="14.44140625" style="51" customWidth="1"/>
    <col min="11270" max="11270" width="14.33203125" style="51" customWidth="1"/>
    <col min="11271" max="11272" width="1.44140625" style="51" customWidth="1"/>
    <col min="11273" max="11275" width="11.44140625" style="51"/>
    <col min="11276" max="11276" width="32.88671875" style="51" customWidth="1"/>
    <col min="11277" max="11277" width="1.5546875" style="51" customWidth="1"/>
    <col min="11278" max="11290" width="0" style="51" hidden="1" customWidth="1"/>
    <col min="11291" max="11520" width="11.44140625" style="51"/>
    <col min="11521" max="11521" width="1.5546875" style="51" customWidth="1"/>
    <col min="11522" max="11522" width="20.109375" style="51" customWidth="1"/>
    <col min="11523" max="11524" width="9" style="51" customWidth="1"/>
    <col min="11525" max="11525" width="14.44140625" style="51" customWidth="1"/>
    <col min="11526" max="11526" width="14.33203125" style="51" customWidth="1"/>
    <col min="11527" max="11528" width="1.44140625" style="51" customWidth="1"/>
    <col min="11529" max="11531" width="11.44140625" style="51"/>
    <col min="11532" max="11532" width="32.88671875" style="51" customWidth="1"/>
    <col min="11533" max="11533" width="1.5546875" style="51" customWidth="1"/>
    <col min="11534" max="11546" width="0" style="51" hidden="1" customWidth="1"/>
    <col min="11547" max="11776" width="11.44140625" style="51"/>
    <col min="11777" max="11777" width="1.5546875" style="51" customWidth="1"/>
    <col min="11778" max="11778" width="20.109375" style="51" customWidth="1"/>
    <col min="11779" max="11780" width="9" style="51" customWidth="1"/>
    <col min="11781" max="11781" width="14.44140625" style="51" customWidth="1"/>
    <col min="11782" max="11782" width="14.33203125" style="51" customWidth="1"/>
    <col min="11783" max="11784" width="1.44140625" style="51" customWidth="1"/>
    <col min="11785" max="11787" width="11.44140625" style="51"/>
    <col min="11788" max="11788" width="32.88671875" style="51" customWidth="1"/>
    <col min="11789" max="11789" width="1.5546875" style="51" customWidth="1"/>
    <col min="11790" max="11802" width="0" style="51" hidden="1" customWidth="1"/>
    <col min="11803" max="12032" width="11.44140625" style="51"/>
    <col min="12033" max="12033" width="1.5546875" style="51" customWidth="1"/>
    <col min="12034" max="12034" width="20.109375" style="51" customWidth="1"/>
    <col min="12035" max="12036" width="9" style="51" customWidth="1"/>
    <col min="12037" max="12037" width="14.44140625" style="51" customWidth="1"/>
    <col min="12038" max="12038" width="14.33203125" style="51" customWidth="1"/>
    <col min="12039" max="12040" width="1.44140625" style="51" customWidth="1"/>
    <col min="12041" max="12043" width="11.44140625" style="51"/>
    <col min="12044" max="12044" width="32.88671875" style="51" customWidth="1"/>
    <col min="12045" max="12045" width="1.5546875" style="51" customWidth="1"/>
    <col min="12046" max="12058" width="0" style="51" hidden="1" customWidth="1"/>
    <col min="12059" max="12288" width="11.44140625" style="51"/>
    <col min="12289" max="12289" width="1.5546875" style="51" customWidth="1"/>
    <col min="12290" max="12290" width="20.109375" style="51" customWidth="1"/>
    <col min="12291" max="12292" width="9" style="51" customWidth="1"/>
    <col min="12293" max="12293" width="14.44140625" style="51" customWidth="1"/>
    <col min="12294" max="12294" width="14.33203125" style="51" customWidth="1"/>
    <col min="12295" max="12296" width="1.44140625" style="51" customWidth="1"/>
    <col min="12297" max="12299" width="11.44140625" style="51"/>
    <col min="12300" max="12300" width="32.88671875" style="51" customWidth="1"/>
    <col min="12301" max="12301" width="1.5546875" style="51" customWidth="1"/>
    <col min="12302" max="12314" width="0" style="51" hidden="1" customWidth="1"/>
    <col min="12315" max="12544" width="11.44140625" style="51"/>
    <col min="12545" max="12545" width="1.5546875" style="51" customWidth="1"/>
    <col min="12546" max="12546" width="20.109375" style="51" customWidth="1"/>
    <col min="12547" max="12548" width="9" style="51" customWidth="1"/>
    <col min="12549" max="12549" width="14.44140625" style="51" customWidth="1"/>
    <col min="12550" max="12550" width="14.33203125" style="51" customWidth="1"/>
    <col min="12551" max="12552" width="1.44140625" style="51" customWidth="1"/>
    <col min="12553" max="12555" width="11.44140625" style="51"/>
    <col min="12556" max="12556" width="32.88671875" style="51" customWidth="1"/>
    <col min="12557" max="12557" width="1.5546875" style="51" customWidth="1"/>
    <col min="12558" max="12570" width="0" style="51" hidden="1" customWidth="1"/>
    <col min="12571" max="12800" width="11.44140625" style="51"/>
    <col min="12801" max="12801" width="1.5546875" style="51" customWidth="1"/>
    <col min="12802" max="12802" width="20.109375" style="51" customWidth="1"/>
    <col min="12803" max="12804" width="9" style="51" customWidth="1"/>
    <col min="12805" max="12805" width="14.44140625" style="51" customWidth="1"/>
    <col min="12806" max="12806" width="14.33203125" style="51" customWidth="1"/>
    <col min="12807" max="12808" width="1.44140625" style="51" customWidth="1"/>
    <col min="12809" max="12811" width="11.44140625" style="51"/>
    <col min="12812" max="12812" width="32.88671875" style="51" customWidth="1"/>
    <col min="12813" max="12813" width="1.5546875" style="51" customWidth="1"/>
    <col min="12814" max="12826" width="0" style="51" hidden="1" customWidth="1"/>
    <col min="12827" max="13056" width="11.44140625" style="51"/>
    <col min="13057" max="13057" width="1.5546875" style="51" customWidth="1"/>
    <col min="13058" max="13058" width="20.109375" style="51" customWidth="1"/>
    <col min="13059" max="13060" width="9" style="51" customWidth="1"/>
    <col min="13061" max="13061" width="14.44140625" style="51" customWidth="1"/>
    <col min="13062" max="13062" width="14.33203125" style="51" customWidth="1"/>
    <col min="13063" max="13064" width="1.44140625" style="51" customWidth="1"/>
    <col min="13065" max="13067" width="11.44140625" style="51"/>
    <col min="13068" max="13068" width="32.88671875" style="51" customWidth="1"/>
    <col min="13069" max="13069" width="1.5546875" style="51" customWidth="1"/>
    <col min="13070" max="13082" width="0" style="51" hidden="1" customWidth="1"/>
    <col min="13083" max="13312" width="11.44140625" style="51"/>
    <col min="13313" max="13313" width="1.5546875" style="51" customWidth="1"/>
    <col min="13314" max="13314" width="20.109375" style="51" customWidth="1"/>
    <col min="13315" max="13316" width="9" style="51" customWidth="1"/>
    <col min="13317" max="13317" width="14.44140625" style="51" customWidth="1"/>
    <col min="13318" max="13318" width="14.33203125" style="51" customWidth="1"/>
    <col min="13319" max="13320" width="1.44140625" style="51" customWidth="1"/>
    <col min="13321" max="13323" width="11.44140625" style="51"/>
    <col min="13324" max="13324" width="32.88671875" style="51" customWidth="1"/>
    <col min="13325" max="13325" width="1.5546875" style="51" customWidth="1"/>
    <col min="13326" max="13338" width="0" style="51" hidden="1" customWidth="1"/>
    <col min="13339" max="13568" width="11.44140625" style="51"/>
    <col min="13569" max="13569" width="1.5546875" style="51" customWidth="1"/>
    <col min="13570" max="13570" width="20.109375" style="51" customWidth="1"/>
    <col min="13571" max="13572" width="9" style="51" customWidth="1"/>
    <col min="13573" max="13573" width="14.44140625" style="51" customWidth="1"/>
    <col min="13574" max="13574" width="14.33203125" style="51" customWidth="1"/>
    <col min="13575" max="13576" width="1.44140625" style="51" customWidth="1"/>
    <col min="13577" max="13579" width="11.44140625" style="51"/>
    <col min="13580" max="13580" width="32.88671875" style="51" customWidth="1"/>
    <col min="13581" max="13581" width="1.5546875" style="51" customWidth="1"/>
    <col min="13582" max="13594" width="0" style="51" hidden="1" customWidth="1"/>
    <col min="13595" max="13824" width="11.44140625" style="51"/>
    <col min="13825" max="13825" width="1.5546875" style="51" customWidth="1"/>
    <col min="13826" max="13826" width="20.109375" style="51" customWidth="1"/>
    <col min="13827" max="13828" width="9" style="51" customWidth="1"/>
    <col min="13829" max="13829" width="14.44140625" style="51" customWidth="1"/>
    <col min="13830" max="13830" width="14.33203125" style="51" customWidth="1"/>
    <col min="13831" max="13832" width="1.44140625" style="51" customWidth="1"/>
    <col min="13833" max="13835" width="11.44140625" style="51"/>
    <col min="13836" max="13836" width="32.88671875" style="51" customWidth="1"/>
    <col min="13837" max="13837" width="1.5546875" style="51" customWidth="1"/>
    <col min="13838" max="13850" width="0" style="51" hidden="1" customWidth="1"/>
    <col min="13851" max="14080" width="11.44140625" style="51"/>
    <col min="14081" max="14081" width="1.5546875" style="51" customWidth="1"/>
    <col min="14082" max="14082" width="20.109375" style="51" customWidth="1"/>
    <col min="14083" max="14084" width="9" style="51" customWidth="1"/>
    <col min="14085" max="14085" width="14.44140625" style="51" customWidth="1"/>
    <col min="14086" max="14086" width="14.33203125" style="51" customWidth="1"/>
    <col min="14087" max="14088" width="1.44140625" style="51" customWidth="1"/>
    <col min="14089" max="14091" width="11.44140625" style="51"/>
    <col min="14092" max="14092" width="32.88671875" style="51" customWidth="1"/>
    <col min="14093" max="14093" width="1.5546875" style="51" customWidth="1"/>
    <col min="14094" max="14106" width="0" style="51" hidden="1" customWidth="1"/>
    <col min="14107" max="14336" width="11.44140625" style="51"/>
    <col min="14337" max="14337" width="1.5546875" style="51" customWidth="1"/>
    <col min="14338" max="14338" width="20.109375" style="51" customWidth="1"/>
    <col min="14339" max="14340" width="9" style="51" customWidth="1"/>
    <col min="14341" max="14341" width="14.44140625" style="51" customWidth="1"/>
    <col min="14342" max="14342" width="14.33203125" style="51" customWidth="1"/>
    <col min="14343" max="14344" width="1.44140625" style="51" customWidth="1"/>
    <col min="14345" max="14347" width="11.44140625" style="51"/>
    <col min="14348" max="14348" width="32.88671875" style="51" customWidth="1"/>
    <col min="14349" max="14349" width="1.5546875" style="51" customWidth="1"/>
    <col min="14350" max="14362" width="0" style="51" hidden="1" customWidth="1"/>
    <col min="14363" max="14592" width="11.44140625" style="51"/>
    <col min="14593" max="14593" width="1.5546875" style="51" customWidth="1"/>
    <col min="14594" max="14594" width="20.109375" style="51" customWidth="1"/>
    <col min="14595" max="14596" width="9" style="51" customWidth="1"/>
    <col min="14597" max="14597" width="14.44140625" style="51" customWidth="1"/>
    <col min="14598" max="14598" width="14.33203125" style="51" customWidth="1"/>
    <col min="14599" max="14600" width="1.44140625" style="51" customWidth="1"/>
    <col min="14601" max="14603" width="11.44140625" style="51"/>
    <col min="14604" max="14604" width="32.88671875" style="51" customWidth="1"/>
    <col min="14605" max="14605" width="1.5546875" style="51" customWidth="1"/>
    <col min="14606" max="14618" width="0" style="51" hidden="1" customWidth="1"/>
    <col min="14619" max="14848" width="11.44140625" style="51"/>
    <col min="14849" max="14849" width="1.5546875" style="51" customWidth="1"/>
    <col min="14850" max="14850" width="20.109375" style="51" customWidth="1"/>
    <col min="14851" max="14852" width="9" style="51" customWidth="1"/>
    <col min="14853" max="14853" width="14.44140625" style="51" customWidth="1"/>
    <col min="14854" max="14854" width="14.33203125" style="51" customWidth="1"/>
    <col min="14855" max="14856" width="1.44140625" style="51" customWidth="1"/>
    <col min="14857" max="14859" width="11.44140625" style="51"/>
    <col min="14860" max="14860" width="32.88671875" style="51" customWidth="1"/>
    <col min="14861" max="14861" width="1.5546875" style="51" customWidth="1"/>
    <col min="14862" max="14874" width="0" style="51" hidden="1" customWidth="1"/>
    <col min="14875" max="15104" width="11.44140625" style="51"/>
    <col min="15105" max="15105" width="1.5546875" style="51" customWidth="1"/>
    <col min="15106" max="15106" width="20.109375" style="51" customWidth="1"/>
    <col min="15107" max="15108" width="9" style="51" customWidth="1"/>
    <col min="15109" max="15109" width="14.44140625" style="51" customWidth="1"/>
    <col min="15110" max="15110" width="14.33203125" style="51" customWidth="1"/>
    <col min="15111" max="15112" width="1.44140625" style="51" customWidth="1"/>
    <col min="15113" max="15115" width="11.44140625" style="51"/>
    <col min="15116" max="15116" width="32.88671875" style="51" customWidth="1"/>
    <col min="15117" max="15117" width="1.5546875" style="51" customWidth="1"/>
    <col min="15118" max="15130" width="0" style="51" hidden="1" customWidth="1"/>
    <col min="15131" max="15360" width="11.44140625" style="51"/>
    <col min="15361" max="15361" width="1.5546875" style="51" customWidth="1"/>
    <col min="15362" max="15362" width="20.109375" style="51" customWidth="1"/>
    <col min="15363" max="15364" width="9" style="51" customWidth="1"/>
    <col min="15365" max="15365" width="14.44140625" style="51" customWidth="1"/>
    <col min="15366" max="15366" width="14.33203125" style="51" customWidth="1"/>
    <col min="15367" max="15368" width="1.44140625" style="51" customWidth="1"/>
    <col min="15369" max="15371" width="11.44140625" style="51"/>
    <col min="15372" max="15372" width="32.88671875" style="51" customWidth="1"/>
    <col min="15373" max="15373" width="1.5546875" style="51" customWidth="1"/>
    <col min="15374" max="15386" width="0" style="51" hidden="1" customWidth="1"/>
    <col min="15387" max="15616" width="11.44140625" style="51"/>
    <col min="15617" max="15617" width="1.5546875" style="51" customWidth="1"/>
    <col min="15618" max="15618" width="20.109375" style="51" customWidth="1"/>
    <col min="15619" max="15620" width="9" style="51" customWidth="1"/>
    <col min="15621" max="15621" width="14.44140625" style="51" customWidth="1"/>
    <col min="15622" max="15622" width="14.33203125" style="51" customWidth="1"/>
    <col min="15623" max="15624" width="1.44140625" style="51" customWidth="1"/>
    <col min="15625" max="15627" width="11.44140625" style="51"/>
    <col min="15628" max="15628" width="32.88671875" style="51" customWidth="1"/>
    <col min="15629" max="15629" width="1.5546875" style="51" customWidth="1"/>
    <col min="15630" max="15642" width="0" style="51" hidden="1" customWidth="1"/>
    <col min="15643" max="15872" width="11.44140625" style="51"/>
    <col min="15873" max="15873" width="1.5546875" style="51" customWidth="1"/>
    <col min="15874" max="15874" width="20.109375" style="51" customWidth="1"/>
    <col min="15875" max="15876" width="9" style="51" customWidth="1"/>
    <col min="15877" max="15877" width="14.44140625" style="51" customWidth="1"/>
    <col min="15878" max="15878" width="14.33203125" style="51" customWidth="1"/>
    <col min="15879" max="15880" width="1.44140625" style="51" customWidth="1"/>
    <col min="15881" max="15883" width="11.44140625" style="51"/>
    <col min="15884" max="15884" width="32.88671875" style="51" customWidth="1"/>
    <col min="15885" max="15885" width="1.5546875" style="51" customWidth="1"/>
    <col min="15886" max="15898" width="0" style="51" hidden="1" customWidth="1"/>
    <col min="15899" max="16128" width="11.44140625" style="51"/>
    <col min="16129" max="16129" width="1.5546875" style="51" customWidth="1"/>
    <col min="16130" max="16130" width="20.109375" style="51" customWidth="1"/>
    <col min="16131" max="16132" width="9" style="51" customWidth="1"/>
    <col min="16133" max="16133" width="14.44140625" style="51" customWidth="1"/>
    <col min="16134" max="16134" width="14.33203125" style="51" customWidth="1"/>
    <col min="16135" max="16136" width="1.44140625" style="51" customWidth="1"/>
    <col min="16137" max="16139" width="11.44140625" style="51"/>
    <col min="16140" max="16140" width="32.88671875" style="51" customWidth="1"/>
    <col min="16141" max="16141" width="1.5546875" style="51" customWidth="1"/>
    <col min="16142" max="16154" width="0" style="51" hidden="1" customWidth="1"/>
    <col min="16155" max="16384" width="11.44140625" style="51"/>
  </cols>
  <sheetData>
    <row r="1" spans="1:27" ht="15" thickBot="1">
      <c r="N1" s="52"/>
      <c r="O1" s="52"/>
      <c r="P1" s="52"/>
      <c r="Q1" s="52"/>
      <c r="R1" s="52"/>
      <c r="S1" s="52"/>
      <c r="T1" s="52"/>
      <c r="U1" s="52"/>
      <c r="V1" s="52"/>
      <c r="W1" s="52"/>
    </row>
    <row r="2" spans="1:27">
      <c r="B2" s="53" t="s">
        <v>163</v>
      </c>
      <c r="C2" s="54" t="s">
        <v>164</v>
      </c>
      <c r="D2" s="54" t="s">
        <v>165</v>
      </c>
      <c r="E2" s="55" t="s">
        <v>166</v>
      </c>
      <c r="F2" s="56" t="s">
        <v>166</v>
      </c>
      <c r="I2" s="1354" t="s">
        <v>167</v>
      </c>
      <c r="J2" s="1355"/>
      <c r="K2" s="1355"/>
      <c r="L2" s="1356"/>
      <c r="N2" s="52"/>
      <c r="O2" s="52"/>
      <c r="P2" s="52"/>
      <c r="Q2" s="52"/>
      <c r="R2" s="52"/>
      <c r="S2" s="52"/>
      <c r="T2" s="52"/>
      <c r="U2" s="52"/>
      <c r="V2" s="52"/>
      <c r="W2" s="52"/>
    </row>
    <row r="3" spans="1:27">
      <c r="B3" s="57" t="s">
        <v>8</v>
      </c>
      <c r="C3" s="58" t="s">
        <v>111</v>
      </c>
      <c r="D3" s="58" t="s">
        <v>111</v>
      </c>
      <c r="E3" s="59" t="s">
        <v>168</v>
      </c>
      <c r="F3" s="60" t="s">
        <v>169</v>
      </c>
      <c r="I3" s="52"/>
      <c r="J3" s="52"/>
      <c r="K3" s="52"/>
      <c r="L3" s="61"/>
      <c r="N3" s="62" t="s">
        <v>170</v>
      </c>
      <c r="O3" s="63"/>
      <c r="P3" s="63"/>
      <c r="Q3" s="63"/>
      <c r="R3" s="63"/>
      <c r="S3" s="63"/>
      <c r="T3" s="63"/>
      <c r="U3" s="63"/>
      <c r="V3" s="64"/>
      <c r="W3" s="65"/>
      <c r="X3" s="66" t="s">
        <v>62</v>
      </c>
      <c r="Y3" s="67" t="s">
        <v>64</v>
      </c>
      <c r="Z3" s="68" t="s">
        <v>63</v>
      </c>
    </row>
    <row r="4" spans="1:27">
      <c r="A4" s="51" t="s">
        <v>14</v>
      </c>
      <c r="B4" s="69">
        <v>100</v>
      </c>
      <c r="C4" s="70">
        <f>'D6913'!F24</f>
        <v>100</v>
      </c>
      <c r="D4" s="71">
        <f t="shared" ref="D4:D19" si="0">IF(C4="",100,C4)</f>
        <v>100</v>
      </c>
      <c r="E4" s="72">
        <f t="shared" ref="E4:E19" si="1">100-D4</f>
        <v>0</v>
      </c>
      <c r="F4" s="73">
        <f>100-D4</f>
        <v>0</v>
      </c>
      <c r="I4" s="52">
        <v>40</v>
      </c>
      <c r="J4" s="74">
        <v>0</v>
      </c>
      <c r="K4" s="52">
        <v>40</v>
      </c>
      <c r="L4" s="74">
        <f>K4-30</f>
        <v>10</v>
      </c>
      <c r="N4" s="75"/>
      <c r="O4" s="76"/>
      <c r="P4" s="76"/>
      <c r="Q4" s="76"/>
      <c r="R4" s="76"/>
      <c r="S4" s="76"/>
      <c r="T4" s="76"/>
      <c r="U4" s="76"/>
      <c r="V4" s="77"/>
      <c r="W4" s="52"/>
      <c r="X4" s="78" t="str">
        <f t="shared" ref="X4:X18" si="2">IF(AND(D4=60,D5=60),((B4+B5)/2),IF(AND(D4&gt;=60,D5&lt;=60),FORECAST(60,B4:B5,D4:D5),""))</f>
        <v/>
      </c>
      <c r="Y4" s="79" t="str">
        <f t="shared" ref="Y4:Y18" si="3">IF(AND(D4=30,D5=30),((B4+B5)/2),IF(AND(D4&gt;=30,D5&lt;=30),FORECAST(30,B4:B5,D4:D5),""))</f>
        <v/>
      </c>
      <c r="Z4" s="80" t="str">
        <f t="shared" ref="Z4:Z18" si="4">IF(AND(D4=10,D5=10),((B4+B5)/2),IF(AND(D4&gt;=10,D5&lt;=10),FORECAST(10,B4:B5,D4:D5),""))</f>
        <v/>
      </c>
    </row>
    <row r="5" spans="1:27">
      <c r="A5" s="51" t="s">
        <v>6</v>
      </c>
      <c r="B5" s="69">
        <v>80</v>
      </c>
      <c r="C5" s="70">
        <f>'D6913'!F25</f>
        <v>96.337256541333346</v>
      </c>
      <c r="D5" s="71">
        <f t="shared" si="0"/>
        <v>96.337256541333346</v>
      </c>
      <c r="E5" s="72">
        <f t="shared" si="1"/>
        <v>3.6627434586666539</v>
      </c>
      <c r="F5" s="73">
        <f t="shared" ref="F5:F19" si="5">D4-D5</f>
        <v>3.6627434586666539</v>
      </c>
      <c r="I5" s="52">
        <v>40</v>
      </c>
      <c r="J5" s="74">
        <v>70</v>
      </c>
      <c r="K5" s="52">
        <v>100</v>
      </c>
      <c r="L5" s="74">
        <f>K5-30</f>
        <v>70</v>
      </c>
      <c r="M5" s="52"/>
      <c r="N5" s="62"/>
      <c r="O5" s="63"/>
      <c r="P5" s="63"/>
      <c r="Q5" s="81" t="str">
        <f>IF(D19&lt;50,"Suelo de partículas gruesas.","")</f>
        <v>Suelo de partículas gruesas.</v>
      </c>
      <c r="R5" s="63"/>
      <c r="S5" s="63"/>
      <c r="T5" s="63"/>
      <c r="U5" s="63"/>
      <c r="V5" s="64"/>
      <c r="W5" s="52"/>
      <c r="X5" s="82" t="str">
        <f t="shared" si="2"/>
        <v/>
      </c>
      <c r="Y5" s="83" t="str">
        <f t="shared" si="3"/>
        <v/>
      </c>
      <c r="Z5" s="84" t="str">
        <f t="shared" si="4"/>
        <v/>
      </c>
      <c r="AA5" s="52"/>
    </row>
    <row r="6" spans="1:27">
      <c r="A6" s="51" t="s">
        <v>15</v>
      </c>
      <c r="B6" s="69">
        <v>63</v>
      </c>
      <c r="C6" s="70">
        <f>'D6913'!F26</f>
        <v>93.104579154284067</v>
      </c>
      <c r="D6" s="71">
        <f t="shared" si="0"/>
        <v>93.104579154284067</v>
      </c>
      <c r="E6" s="72">
        <f t="shared" si="1"/>
        <v>6.8954208457159325</v>
      </c>
      <c r="F6" s="73">
        <f t="shared" si="5"/>
        <v>3.2326773870492787</v>
      </c>
      <c r="I6" s="52"/>
      <c r="J6" s="52"/>
      <c r="K6" s="52"/>
      <c r="L6" s="52"/>
      <c r="M6" s="52"/>
      <c r="N6" s="85"/>
      <c r="O6" s="52"/>
      <c r="P6" s="52"/>
      <c r="Q6" s="52" t="str">
        <f>IF(D19&lt;5," Suelo limpio.","")</f>
        <v/>
      </c>
      <c r="R6" s="52"/>
      <c r="S6" s="52"/>
      <c r="T6" s="52"/>
      <c r="U6" s="52"/>
      <c r="V6" s="86"/>
      <c r="W6" s="52"/>
      <c r="X6" s="82" t="str">
        <f t="shared" si="2"/>
        <v/>
      </c>
      <c r="Y6" s="83" t="str">
        <f t="shared" si="3"/>
        <v/>
      </c>
      <c r="Z6" s="84" t="str">
        <f t="shared" si="4"/>
        <v/>
      </c>
      <c r="AA6" s="52"/>
    </row>
    <row r="7" spans="1:27">
      <c r="A7" s="51" t="s">
        <v>16</v>
      </c>
      <c r="B7" s="69">
        <v>50</v>
      </c>
      <c r="C7" s="70">
        <f>'D6913'!F27</f>
        <v>90.279999827335359</v>
      </c>
      <c r="D7" s="71">
        <f t="shared" si="0"/>
        <v>90.279999827335359</v>
      </c>
      <c r="E7" s="72">
        <f t="shared" si="1"/>
        <v>9.7200001726646406</v>
      </c>
      <c r="F7" s="73">
        <f t="shared" si="5"/>
        <v>2.8245793269487081</v>
      </c>
      <c r="I7" s="52">
        <v>0</v>
      </c>
      <c r="J7" s="74">
        <v>10</v>
      </c>
      <c r="K7" s="52"/>
      <c r="L7" s="52"/>
      <c r="M7" s="52"/>
      <c r="N7" s="85"/>
      <c r="O7" s="52"/>
      <c r="P7" s="52"/>
      <c r="Q7" s="52" t="str">
        <f>IF(AND(D19&gt;12,D19&lt;50)," Suelo de partículas gruesas con finos (suelo sucio).","")</f>
        <v xml:space="preserve"> Suelo de partículas gruesas con finos (suelo sucio).</v>
      </c>
      <c r="R7" s="52"/>
      <c r="S7" s="52"/>
      <c r="T7" s="52"/>
      <c r="U7" s="52"/>
      <c r="V7" s="86"/>
      <c r="W7" s="52"/>
      <c r="X7" s="82" t="str">
        <f t="shared" si="2"/>
        <v/>
      </c>
      <c r="Y7" s="83" t="str">
        <f t="shared" si="3"/>
        <v/>
      </c>
      <c r="Z7" s="84" t="str">
        <f t="shared" si="4"/>
        <v/>
      </c>
      <c r="AA7" s="52"/>
    </row>
    <row r="8" spans="1:27">
      <c r="A8" s="51" t="s">
        <v>17</v>
      </c>
      <c r="B8" s="69">
        <v>40</v>
      </c>
      <c r="C8" s="70">
        <f>'D6913'!F28</f>
        <v>86.400955947580215</v>
      </c>
      <c r="D8" s="71">
        <f t="shared" si="0"/>
        <v>86.400955947580215</v>
      </c>
      <c r="E8" s="72">
        <f t="shared" si="1"/>
        <v>13.599044052419785</v>
      </c>
      <c r="F8" s="73">
        <f t="shared" si="5"/>
        <v>3.8790438797551445</v>
      </c>
      <c r="I8" s="52">
        <v>100</v>
      </c>
      <c r="J8" s="74">
        <v>10</v>
      </c>
      <c r="K8" s="52"/>
      <c r="L8" s="52"/>
      <c r="M8" s="52"/>
      <c r="N8" s="85"/>
      <c r="O8" s="52"/>
      <c r="P8" s="52"/>
      <c r="Q8" s="52" t="str">
        <f>IF(AND(D19&gt;=5,D19&lt;=12),"( Nomenclatura con símbolo doble).","")</f>
        <v/>
      </c>
      <c r="R8" s="52"/>
      <c r="S8" s="52"/>
      <c r="T8" s="52"/>
      <c r="U8" s="52"/>
      <c r="V8" s="86"/>
      <c r="W8" s="52"/>
      <c r="X8" s="82" t="str">
        <f t="shared" si="2"/>
        <v/>
      </c>
      <c r="Y8" s="83" t="str">
        <f t="shared" si="3"/>
        <v/>
      </c>
      <c r="Z8" s="84" t="str">
        <f t="shared" si="4"/>
        <v/>
      </c>
      <c r="AA8" s="52"/>
    </row>
    <row r="9" spans="1:27">
      <c r="A9" s="51" t="s">
        <v>18</v>
      </c>
      <c r="B9" s="69">
        <v>25</v>
      </c>
      <c r="C9" s="70">
        <f>'D6913'!F29</f>
        <v>81.448014274061421</v>
      </c>
      <c r="D9" s="71">
        <f t="shared" si="0"/>
        <v>81.448014274061421</v>
      </c>
      <c r="E9" s="72">
        <f t="shared" si="1"/>
        <v>18.551985725938579</v>
      </c>
      <c r="F9" s="73">
        <f t="shared" si="5"/>
        <v>4.9529416735187937</v>
      </c>
      <c r="I9" s="52"/>
      <c r="J9" s="52"/>
      <c r="K9" s="52"/>
      <c r="L9" s="61"/>
      <c r="M9" s="52"/>
      <c r="N9" s="85" t="str">
        <f>IF(E26&lt;50,"SI","No")</f>
        <v>SI</v>
      </c>
      <c r="O9" s="52" t="str">
        <f>IF(E14&gt;E19/2,"SI","No")</f>
        <v>No</v>
      </c>
      <c r="P9" s="52" t="b">
        <f>AND(N9="SI",O9="SI")</f>
        <v>0</v>
      </c>
      <c r="Q9" s="52" t="str">
        <f>IF(P9=TRUE,"Grava","")</f>
        <v/>
      </c>
      <c r="R9" s="52"/>
      <c r="S9" s="52"/>
      <c r="T9" s="52"/>
      <c r="U9" s="52"/>
      <c r="V9" s="86" t="str">
        <f>IF(OR(F4&gt;0,F5&gt;0)," con bloques","")</f>
        <v xml:space="preserve"> con bloques</v>
      </c>
      <c r="W9" s="52"/>
      <c r="X9" s="82" t="str">
        <f t="shared" si="2"/>
        <v/>
      </c>
      <c r="Y9" s="83" t="str">
        <f t="shared" si="3"/>
        <v/>
      </c>
      <c r="Z9" s="84" t="str">
        <f t="shared" si="4"/>
        <v/>
      </c>
      <c r="AA9" s="52"/>
    </row>
    <row r="10" spans="1:27">
      <c r="A10" s="51" t="s">
        <v>19</v>
      </c>
      <c r="B10" s="69">
        <v>20</v>
      </c>
      <c r="C10" s="70">
        <f>'D6913'!F30</f>
        <v>78.32602186811603</v>
      </c>
      <c r="D10" s="71">
        <f t="shared" si="0"/>
        <v>78.32602186811603</v>
      </c>
      <c r="E10" s="72">
        <f t="shared" si="1"/>
        <v>21.67397813188397</v>
      </c>
      <c r="F10" s="73">
        <f t="shared" si="5"/>
        <v>3.1219924059453916</v>
      </c>
      <c r="I10" s="52"/>
      <c r="J10" s="52"/>
      <c r="K10" s="52"/>
      <c r="L10" s="52"/>
      <c r="M10" s="52"/>
      <c r="N10" s="85"/>
      <c r="O10" s="52"/>
      <c r="P10" s="52"/>
      <c r="Q10" s="52"/>
      <c r="R10" s="52" t="b">
        <f>AND(D19&lt;5,E30&gt;=4,E31&gt;=1,E31&lt;=3)</f>
        <v>0</v>
      </c>
      <c r="S10" s="52" t="b">
        <f>AND(Q9="Grava",R10=TRUE)</f>
        <v>0</v>
      </c>
      <c r="T10" s="52" t="str">
        <f>IF(S10=TRUE," bien graduada","")</f>
        <v/>
      </c>
      <c r="U10" s="52" t="str">
        <f>IF(T10=" bien graduada"," GW","")</f>
        <v/>
      </c>
      <c r="V10" s="86"/>
      <c r="W10" s="52"/>
      <c r="X10" s="82" t="str">
        <f t="shared" si="2"/>
        <v/>
      </c>
      <c r="Y10" s="83" t="str">
        <f t="shared" si="3"/>
        <v/>
      </c>
      <c r="Z10" s="84" t="str">
        <f t="shared" si="4"/>
        <v/>
      </c>
      <c r="AA10" s="52"/>
    </row>
    <row r="11" spans="1:27">
      <c r="A11" s="51" t="s">
        <v>21</v>
      </c>
      <c r="B11" s="69">
        <v>12.5</v>
      </c>
      <c r="C11" s="70">
        <f>'D6913'!F31</f>
        <v>72.830639294836232</v>
      </c>
      <c r="D11" s="71">
        <f t="shared" si="0"/>
        <v>72.830639294836232</v>
      </c>
      <c r="E11" s="72">
        <f t="shared" si="1"/>
        <v>27.169360705163768</v>
      </c>
      <c r="F11" s="73">
        <f t="shared" si="5"/>
        <v>5.4953825732797981</v>
      </c>
      <c r="I11" s="52"/>
      <c r="J11" s="52"/>
      <c r="K11" s="52"/>
      <c r="L11" s="52"/>
      <c r="M11" s="52"/>
      <c r="N11" s="85"/>
      <c r="O11" s="52"/>
      <c r="P11" s="52"/>
      <c r="Q11" s="52"/>
      <c r="R11" s="52" t="b">
        <f>AND(D19&lt;5,OR(E30&lt;4,E31&lt;1,E31&gt;3))</f>
        <v>0</v>
      </c>
      <c r="S11" s="52" t="b">
        <f>AND(Q9="Grava",R11=TRUE)</f>
        <v>0</v>
      </c>
      <c r="T11" s="52" t="str">
        <f>IF(S11=TRUE," mal graduada","")</f>
        <v/>
      </c>
      <c r="U11" s="52" t="str">
        <f>IF(T11=" mal graduada"," GP","")</f>
        <v/>
      </c>
      <c r="V11" s="86"/>
      <c r="W11" s="52"/>
      <c r="X11" s="82" t="str">
        <f t="shared" si="2"/>
        <v/>
      </c>
      <c r="Y11" s="83" t="str">
        <f t="shared" si="3"/>
        <v/>
      </c>
      <c r="Z11" s="84" t="str">
        <f t="shared" si="4"/>
        <v/>
      </c>
      <c r="AA11" s="52"/>
    </row>
    <row r="12" spans="1:27">
      <c r="A12" s="51" t="s">
        <v>23</v>
      </c>
      <c r="B12" s="69">
        <v>10</v>
      </c>
      <c r="C12" s="70">
        <f>'D6913'!F32</f>
        <v>70.05591045556028</v>
      </c>
      <c r="D12" s="71">
        <f t="shared" si="0"/>
        <v>70.05591045556028</v>
      </c>
      <c r="E12" s="72">
        <f t="shared" si="1"/>
        <v>29.94408954443972</v>
      </c>
      <c r="F12" s="73">
        <f>D11-D12</f>
        <v>2.7747288392759515</v>
      </c>
      <c r="I12" s="52"/>
      <c r="J12" s="52"/>
      <c r="K12" s="52"/>
      <c r="L12" s="52"/>
      <c r="M12" s="52"/>
      <c r="N12" s="85"/>
      <c r="O12" s="52"/>
      <c r="P12" s="52"/>
      <c r="Q12" s="52"/>
      <c r="R12" s="52" t="b">
        <f>AND(D19&gt;12,OR(AND(C21&lt;=30,C23&gt;7),AND(C21&gt;30,C23&gt;(0.73*(C21-20)))))</f>
        <v>0</v>
      </c>
      <c r="S12" s="52" t="b">
        <f>AND(Q9="Grava",R12=TRUE)</f>
        <v>0</v>
      </c>
      <c r="T12" s="52" t="str">
        <f>IF(S12=TRUE," arcillosa","")</f>
        <v/>
      </c>
      <c r="U12" s="52" t="str">
        <f>IF(T12=" arcillosa"," GC","")</f>
        <v/>
      </c>
      <c r="V12" s="86"/>
      <c r="W12" s="52"/>
      <c r="X12" s="82" t="str">
        <f t="shared" si="2"/>
        <v/>
      </c>
      <c r="Y12" s="83" t="str">
        <f t="shared" si="3"/>
        <v/>
      </c>
      <c r="Z12" s="84" t="str">
        <f t="shared" si="4"/>
        <v/>
      </c>
      <c r="AA12" s="52"/>
    </row>
    <row r="13" spans="1:27">
      <c r="A13" s="51" t="s">
        <v>25</v>
      </c>
      <c r="B13" s="69">
        <v>6.3</v>
      </c>
      <c r="C13" s="70">
        <f>'D6913'!F33</f>
        <v>65.444317884071779</v>
      </c>
      <c r="D13" s="71">
        <f t="shared" si="0"/>
        <v>65.444317884071779</v>
      </c>
      <c r="E13" s="72">
        <f t="shared" si="1"/>
        <v>34.555682115928221</v>
      </c>
      <c r="F13" s="73">
        <f t="shared" si="5"/>
        <v>4.6115925714885009</v>
      </c>
      <c r="I13" s="52"/>
      <c r="J13" s="52"/>
      <c r="K13" s="52"/>
      <c r="L13" s="52"/>
      <c r="M13" s="52"/>
      <c r="N13" s="85"/>
      <c r="O13" s="52"/>
      <c r="P13" s="52"/>
      <c r="Q13" s="52"/>
      <c r="R13" s="52" t="b">
        <f>AND(D19&gt;12,OR(C23&lt;4,C23&lt;(0.73*(C21-20))))</f>
        <v>1</v>
      </c>
      <c r="S13" s="52" t="b">
        <f>AND(Q9="Grava",R13=TRUE)</f>
        <v>0</v>
      </c>
      <c r="T13" s="52" t="str">
        <f>IF(S13=TRUE," limosa","")</f>
        <v/>
      </c>
      <c r="U13" s="52" t="str">
        <f>IF(T13=" limosa"," GM","")</f>
        <v/>
      </c>
      <c r="V13" s="86"/>
      <c r="W13" s="52"/>
      <c r="X13" s="82" t="str">
        <f t="shared" si="2"/>
        <v/>
      </c>
      <c r="Y13" s="83" t="str">
        <f t="shared" si="3"/>
        <v/>
      </c>
      <c r="Z13" s="84" t="str">
        <f t="shared" si="4"/>
        <v/>
      </c>
      <c r="AA13" s="52"/>
    </row>
    <row r="14" spans="1:27">
      <c r="A14" s="51" t="s">
        <v>69</v>
      </c>
      <c r="B14" s="69">
        <v>5</v>
      </c>
      <c r="C14" s="70">
        <f>'D6913'!F34</f>
        <v>62.47525663522412</v>
      </c>
      <c r="D14" s="71">
        <f t="shared" si="0"/>
        <v>62.47525663522412</v>
      </c>
      <c r="E14" s="72">
        <f t="shared" si="1"/>
        <v>37.52474336477588</v>
      </c>
      <c r="F14" s="73">
        <f t="shared" si="5"/>
        <v>2.9690612488476589</v>
      </c>
      <c r="I14" s="52"/>
      <c r="J14" s="52"/>
      <c r="K14" s="52"/>
      <c r="L14" s="52"/>
      <c r="M14" s="52"/>
      <c r="N14" s="85"/>
      <c r="O14" s="52"/>
      <c r="P14" s="52"/>
      <c r="Q14" s="52"/>
      <c r="R14" s="52" t="b">
        <f>AND(D19&gt;12,C23&gt;(0.73*(C21-20)),C23&gt;=4,C23&lt;=7)</f>
        <v>0</v>
      </c>
      <c r="S14" s="52" t="b">
        <f>AND(Q9="Grava",R14=TRUE)</f>
        <v>0</v>
      </c>
      <c r="T14" s="52" t="str">
        <f>IF(S14=TRUE," arcilloso-limosa","")</f>
        <v/>
      </c>
      <c r="U14" s="52" t="str">
        <f>IF(T14=" arcilloso-limosa"," GC-GM","")</f>
        <v/>
      </c>
      <c r="V14" s="86"/>
      <c r="W14" s="52"/>
      <c r="X14" s="82">
        <f t="shared" si="2"/>
        <v>4.2500872772773981</v>
      </c>
      <c r="Y14" s="83" t="str">
        <f t="shared" si="3"/>
        <v/>
      </c>
      <c r="Z14" s="84" t="str">
        <f t="shared" si="4"/>
        <v/>
      </c>
      <c r="AA14" s="52"/>
    </row>
    <row r="15" spans="1:27">
      <c r="A15" s="51" t="s">
        <v>0</v>
      </c>
      <c r="B15" s="69">
        <v>2</v>
      </c>
      <c r="C15" s="70">
        <f>'D6913'!F36</f>
        <v>52.573077780713355</v>
      </c>
      <c r="D15" s="71">
        <f t="shared" si="0"/>
        <v>52.573077780713355</v>
      </c>
      <c r="E15" s="72">
        <f t="shared" si="1"/>
        <v>47.426922219286645</v>
      </c>
      <c r="F15" s="73">
        <f t="shared" si="5"/>
        <v>9.9021788545107654</v>
      </c>
      <c r="M15" s="52"/>
      <c r="N15" s="85"/>
      <c r="O15" s="52"/>
      <c r="P15" s="52"/>
      <c r="Q15" s="52"/>
      <c r="R15" s="52" t="b">
        <f>AND(D19&gt;=5,D19&lt;=12,E30&gt;=4,E31&gt;=1,E31&lt;=3)</f>
        <v>0</v>
      </c>
      <c r="S15" s="52" t="b">
        <f>AND(Q9="Grava",R15=TRUE)</f>
        <v>0</v>
      </c>
      <c r="T15" s="52" t="str">
        <f>IF(S15=TRUE," bien graduada","")</f>
        <v/>
      </c>
      <c r="U15" s="52" t="str">
        <f>IF(T15=" bien graduada"," GW","")</f>
        <v/>
      </c>
      <c r="V15" s="86"/>
      <c r="W15" s="52"/>
      <c r="X15" s="82" t="str">
        <f t="shared" si="2"/>
        <v/>
      </c>
      <c r="Y15" s="83" t="str">
        <f t="shared" si="3"/>
        <v/>
      </c>
      <c r="Z15" s="84" t="str">
        <f t="shared" si="4"/>
        <v/>
      </c>
      <c r="AA15" s="52"/>
    </row>
    <row r="16" spans="1:27">
      <c r="A16" s="51" t="s">
        <v>97</v>
      </c>
      <c r="B16" s="69">
        <v>1.25</v>
      </c>
      <c r="C16" s="70">
        <f>'D6913'!F37</f>
        <v>43.726900517330485</v>
      </c>
      <c r="D16" s="71">
        <f t="shared" si="0"/>
        <v>43.726900517330485</v>
      </c>
      <c r="E16" s="72">
        <f t="shared" si="1"/>
        <v>56.273099482669515</v>
      </c>
      <c r="F16" s="73">
        <f t="shared" si="5"/>
        <v>8.8461772633828701</v>
      </c>
      <c r="M16" s="52"/>
      <c r="N16" s="85"/>
      <c r="O16" s="52"/>
      <c r="P16" s="52"/>
      <c r="Q16" s="52"/>
      <c r="R16" s="52" t="b">
        <f>AND(D19&gt;=5,D19&lt;=12,OR(E30&lt;4,E31&lt;1,E31&gt;3))</f>
        <v>0</v>
      </c>
      <c r="S16" s="52" t="b">
        <f>AND(Q9="Grava",R16=TRUE)</f>
        <v>0</v>
      </c>
      <c r="T16" s="52" t="str">
        <f>IF(S16=TRUE," mal graduada","")</f>
        <v/>
      </c>
      <c r="U16" s="52" t="str">
        <f>IF(T16=" mal graduada"," GP","")</f>
        <v/>
      </c>
      <c r="V16" s="86"/>
      <c r="W16" s="52"/>
      <c r="X16" s="82" t="str">
        <f t="shared" si="2"/>
        <v/>
      </c>
      <c r="Y16" s="83">
        <f t="shared" si="3"/>
        <v>0.42955569148806183</v>
      </c>
      <c r="Z16" s="84" t="str">
        <f t="shared" si="4"/>
        <v/>
      </c>
      <c r="AA16" s="52"/>
    </row>
    <row r="17" spans="1:27">
      <c r="A17" s="51" t="s">
        <v>4</v>
      </c>
      <c r="B17" s="69">
        <v>0.4</v>
      </c>
      <c r="C17" s="70">
        <f>'D6913'!F40</f>
        <v>29.505502040091685</v>
      </c>
      <c r="D17" s="71">
        <f t="shared" si="0"/>
        <v>29.505502040091685</v>
      </c>
      <c r="E17" s="72">
        <f t="shared" si="1"/>
        <v>70.494497959908315</v>
      </c>
      <c r="F17" s="73">
        <f t="shared" si="5"/>
        <v>14.2213984772388</v>
      </c>
      <c r="M17" s="52"/>
      <c r="N17" s="85"/>
      <c r="O17" s="52"/>
      <c r="P17" s="52"/>
      <c r="Q17" s="52"/>
      <c r="R17" s="52" t="b">
        <f>AND(D19&gt;=5,D19&lt;=12,OR(AND(C21&lt;=30,C23&gt;7),AND(C21&gt;30,C23&gt;(0.73*(C21-20)))))</f>
        <v>0</v>
      </c>
      <c r="S17" s="52" t="b">
        <f>AND(Q9="Grava",R17=TRUE)</f>
        <v>0</v>
      </c>
      <c r="T17" s="52" t="str">
        <f>IF(S17=TRUE," con arcilla","")</f>
        <v/>
      </c>
      <c r="U17" s="52" t="str">
        <f>IF(T17=" con arcilla"," GC","")</f>
        <v/>
      </c>
      <c r="V17" s="86"/>
      <c r="W17" s="52"/>
      <c r="X17" s="82" t="str">
        <f t="shared" si="2"/>
        <v/>
      </c>
      <c r="Y17" s="83" t="str">
        <f t="shared" si="3"/>
        <v/>
      </c>
      <c r="Z17" s="84" t="str">
        <f t="shared" si="4"/>
        <v/>
      </c>
      <c r="AA17" s="52"/>
    </row>
    <row r="18" spans="1:27">
      <c r="A18" s="51" t="s">
        <v>73</v>
      </c>
      <c r="B18" s="87">
        <v>0.16</v>
      </c>
      <c r="C18" s="70">
        <f>'D6913'!F44</f>
        <v>21.066145061815462</v>
      </c>
      <c r="D18" s="71">
        <f t="shared" si="0"/>
        <v>21.066145061815462</v>
      </c>
      <c r="E18" s="72">
        <f t="shared" si="1"/>
        <v>78.933854938184538</v>
      </c>
      <c r="F18" s="73">
        <f t="shared" si="5"/>
        <v>8.4393569782762228</v>
      </c>
      <c r="M18" s="52"/>
      <c r="N18" s="85"/>
      <c r="O18" s="52"/>
      <c r="P18" s="52"/>
      <c r="Q18" s="52"/>
      <c r="R18" s="52" t="b">
        <f>AND(D19&gt;=5,D19&lt;=12,OR(C23&lt;4,C23&lt;(0.73*(C21-20))))</f>
        <v>0</v>
      </c>
      <c r="S18" s="52" t="b">
        <f>AND(Q9="Grava",R18=TRUE)</f>
        <v>0</v>
      </c>
      <c r="T18" s="52" t="str">
        <f>IF(S18=TRUE," con limo","")</f>
        <v/>
      </c>
      <c r="U18" s="52" t="str">
        <f>IF(T18=" con limo"," GM","")</f>
        <v/>
      </c>
      <c r="V18" s="86"/>
      <c r="W18" s="52"/>
      <c r="X18" s="88" t="str">
        <f t="shared" si="2"/>
        <v/>
      </c>
      <c r="Y18" s="89" t="str">
        <f t="shared" si="3"/>
        <v/>
      </c>
      <c r="Z18" s="90" t="str">
        <f t="shared" si="4"/>
        <v/>
      </c>
      <c r="AA18" s="52"/>
    </row>
    <row r="19" spans="1:27" ht="15" thickBot="1">
      <c r="A19" s="51" t="s">
        <v>1</v>
      </c>
      <c r="B19" s="91">
        <v>0.08</v>
      </c>
      <c r="C19" s="92">
        <f>'D6913'!F46</f>
        <v>17.326860739133082</v>
      </c>
      <c r="D19" s="93">
        <f t="shared" si="0"/>
        <v>17.326860739133082</v>
      </c>
      <c r="E19" s="94">
        <f t="shared" si="1"/>
        <v>82.673139260866918</v>
      </c>
      <c r="F19" s="95">
        <f t="shared" si="5"/>
        <v>3.73928432268238</v>
      </c>
      <c r="M19" s="52"/>
      <c r="N19" s="85"/>
      <c r="O19" s="52"/>
      <c r="P19" s="52"/>
      <c r="Q19" s="52"/>
      <c r="R19" s="52" t="b">
        <f>AND(D19&gt;=5,D19&lt;=12,C23&gt;(0.73*(C21-20)),C23&gt;=4,C23&lt;=7)</f>
        <v>0</v>
      </c>
      <c r="S19" s="52" t="b">
        <f>AND(Q9="Grava",R19=TRUE)</f>
        <v>0</v>
      </c>
      <c r="T19" s="52" t="str">
        <f>IF(S19=TRUE," con arcilla y limo","")</f>
        <v/>
      </c>
      <c r="U19" s="52" t="str">
        <f>IF(T19=" con arcilla y limo"," GC","")</f>
        <v/>
      </c>
      <c r="V19" s="86"/>
      <c r="W19" s="52"/>
      <c r="X19" s="96">
        <f>AVERAGE(X4:X18)</f>
        <v>4.2500872772773981</v>
      </c>
      <c r="Y19" s="97">
        <f>AVERAGE(Y4:Y18)</f>
        <v>0.42955569148806183</v>
      </c>
      <c r="Z19" s="98" t="e">
        <f>AVERAGE(Z4:Z18)</f>
        <v>#DIV/0!</v>
      </c>
      <c r="AA19" s="52"/>
    </row>
    <row r="20" spans="1:27" ht="15" thickBot="1">
      <c r="I20" s="52"/>
      <c r="J20" s="52"/>
      <c r="K20" s="52"/>
      <c r="L20" s="52"/>
      <c r="M20" s="52"/>
      <c r="N20" s="85"/>
      <c r="O20" s="52"/>
      <c r="P20" s="52"/>
      <c r="Q20" s="52"/>
      <c r="R20" s="52"/>
      <c r="S20" s="52" t="b">
        <f>AND(Q9="Grava",(F15+F16+F17+F18+F19)&gt;15)</f>
        <v>0</v>
      </c>
      <c r="T20" s="52" t="str">
        <f>IF(S20=TRUE," con arena","")</f>
        <v/>
      </c>
      <c r="U20" s="52"/>
      <c r="V20" s="86"/>
      <c r="W20" s="52"/>
      <c r="X20" s="99" t="b">
        <f>ISNUMBER(X19)</f>
        <v>1</v>
      </c>
      <c r="Y20" s="100" t="b">
        <f>ISNUMBER(Y19)</f>
        <v>1</v>
      </c>
      <c r="Z20" s="101" t="b">
        <f>ISNUMBER(Z19)</f>
        <v>0</v>
      </c>
      <c r="AA20" s="52"/>
    </row>
    <row r="21" spans="1:27">
      <c r="B21" s="53" t="s">
        <v>171</v>
      </c>
      <c r="C21" s="102">
        <f>IF('D6913'!K34="NP",0,'D6913'!K34)</f>
        <v>0</v>
      </c>
      <c r="D21" s="103" t="s">
        <v>31</v>
      </c>
      <c r="E21" s="104"/>
      <c r="F21" s="105"/>
      <c r="I21" s="52"/>
      <c r="J21" s="52"/>
      <c r="K21" s="52"/>
      <c r="L21" s="52"/>
      <c r="M21" s="52"/>
      <c r="N21" s="85" t="str">
        <f>IF(E26&lt;50,"SI","No")</f>
        <v>SI</v>
      </c>
      <c r="O21" s="52" t="str">
        <f>IF(E14&lt;E19/2,"SI","No")</f>
        <v>SI</v>
      </c>
      <c r="P21" s="52" t="b">
        <f>AND(N21="SI",O21="SI")</f>
        <v>1</v>
      </c>
      <c r="Q21" s="52" t="str">
        <f>IF(P21=TRUE,"Arena","")</f>
        <v>Arena</v>
      </c>
      <c r="R21" s="52"/>
      <c r="S21" s="52"/>
      <c r="T21" s="52"/>
      <c r="U21" s="52"/>
      <c r="V21" s="86"/>
      <c r="W21" s="52"/>
      <c r="X21" s="52"/>
      <c r="Y21" s="52"/>
      <c r="Z21" s="52"/>
      <c r="AA21" s="52"/>
    </row>
    <row r="22" spans="1:27">
      <c r="B22" s="57" t="s">
        <v>172</v>
      </c>
      <c r="C22" s="70">
        <f>IF('D6913'!K35="NP",0,'D6913'!K35)</f>
        <v>0</v>
      </c>
      <c r="D22" s="106" t="s">
        <v>31</v>
      </c>
      <c r="F22" s="107"/>
      <c r="I22" s="52"/>
      <c r="J22" s="52"/>
      <c r="K22" s="52"/>
      <c r="L22" s="52"/>
      <c r="M22" s="52"/>
      <c r="N22" s="85"/>
      <c r="O22" s="52"/>
      <c r="P22" s="52"/>
      <c r="Q22" s="52"/>
      <c r="R22" s="52" t="b">
        <f>AND(D19&lt;5,E30&gt;=6,E31&gt;=1,E31&lt;=3)</f>
        <v>0</v>
      </c>
      <c r="S22" s="52" t="b">
        <f>AND(Q21="Arena",R22=TRUE)</f>
        <v>0</v>
      </c>
      <c r="T22" s="52" t="str">
        <f>IF(AND(S22=TRUE,D19&lt;=12,D19&lt;50)," bien graduada","")</f>
        <v/>
      </c>
      <c r="U22" s="52" t="str">
        <f>IF(T22=" bien graduada"," SW","")</f>
        <v/>
      </c>
      <c r="V22" s="86"/>
      <c r="W22" s="52"/>
      <c r="X22" s="52"/>
      <c r="Y22" s="52"/>
      <c r="Z22" s="52"/>
      <c r="AA22" s="52"/>
    </row>
    <row r="23" spans="1:27" ht="15" thickBot="1">
      <c r="B23" s="108" t="s">
        <v>173</v>
      </c>
      <c r="C23" s="736">
        <f>C21-C22</f>
        <v>0</v>
      </c>
      <c r="D23" s="109" t="s">
        <v>31</v>
      </c>
      <c r="E23" s="110"/>
      <c r="F23" s="111"/>
      <c r="I23" s="52"/>
      <c r="J23" s="52"/>
      <c r="K23" s="52"/>
      <c r="L23" s="52"/>
      <c r="M23" s="52"/>
      <c r="N23" s="85"/>
      <c r="O23" s="52"/>
      <c r="P23" s="52"/>
      <c r="Q23" s="52"/>
      <c r="R23" s="52" t="b">
        <f>AND(D19&lt;5,OR(E30&lt;6,E31&lt;1,E31&gt;3))</f>
        <v>0</v>
      </c>
      <c r="S23" s="52" t="b">
        <f>AND(Q21="Arena",R23=TRUE)</f>
        <v>0</v>
      </c>
      <c r="T23" s="52" t="str">
        <f>IF(AND(S23=TRUE,D19&lt;=12,D19&lt;50)," mal graduada","")</f>
        <v/>
      </c>
      <c r="U23" s="52" t="str">
        <f>IF(T23=" mal graduada"," SP","")</f>
        <v/>
      </c>
      <c r="V23" s="86"/>
      <c r="W23" s="52"/>
      <c r="X23" s="52"/>
      <c r="Y23" s="52"/>
      <c r="Z23" s="52"/>
      <c r="AA23" s="52"/>
    </row>
    <row r="24" spans="1:27" ht="15" thickBot="1">
      <c r="I24" s="112" t="str">
        <f>IF(AND(C4="",C5="",C6="",C7="",C8="",C9="",C10="",C11="",C12="",C13="",C14="",C15="",C16="",C17="",C18="",C19=""),"",N63)</f>
        <v>Material granular</v>
      </c>
      <c r="J24" s="733"/>
      <c r="K24" s="733"/>
      <c r="L24" s="734"/>
      <c r="M24" s="52"/>
      <c r="N24" s="85"/>
      <c r="O24" s="52"/>
      <c r="P24" s="52"/>
      <c r="Q24" s="52"/>
      <c r="R24" s="52" t="b">
        <f>AND(D19&gt;12,OR(AND(C21&lt;=30,C23&gt;7),AND(C21&gt;30,C23&gt;(0.73*(C21-20)))))</f>
        <v>0</v>
      </c>
      <c r="S24" s="52" t="b">
        <f>AND(Q21="Arena",R24=TRUE)</f>
        <v>0</v>
      </c>
      <c r="T24" s="52" t="str">
        <f>IF(AND(S24=TRUE,D19&gt;12,D19&lt;50)," arcillosa","")</f>
        <v/>
      </c>
      <c r="U24" s="52" t="str">
        <f>IF(T24=" arcillosa"," SC","")</f>
        <v/>
      </c>
      <c r="V24" s="86"/>
      <c r="W24" s="52"/>
      <c r="X24" s="52"/>
      <c r="Y24" s="52"/>
      <c r="Z24" s="52"/>
      <c r="AA24" s="52"/>
    </row>
    <row r="25" spans="1:27">
      <c r="B25" s="113" t="s">
        <v>174</v>
      </c>
      <c r="C25" s="114"/>
      <c r="D25" s="115"/>
      <c r="E25" s="116">
        <f>D14</f>
        <v>62.47525663522412</v>
      </c>
      <c r="F25" s="117" t="s">
        <v>31</v>
      </c>
      <c r="I25" s="118" t="str">
        <f>IF(AND(C4="",C5="",C6="",C7="",C8="",C9="",C10="",C11="",C12="",C13="",C14="",C15="",C16="",C17="",C18="",C19=""),"",N64)</f>
        <v>Excelente a bueno como subgrado</v>
      </c>
      <c r="J25" s="52"/>
      <c r="K25" s="52"/>
      <c r="L25" s="119"/>
      <c r="M25" s="52"/>
      <c r="N25" s="85"/>
      <c r="O25" s="52"/>
      <c r="P25" s="52"/>
      <c r="Q25" s="52"/>
      <c r="R25" s="52" t="b">
        <f>AND(D19&gt;12,OR(C23&lt;4,C23&lt;(0.73*(C21-20))))</f>
        <v>1</v>
      </c>
      <c r="S25" s="52" t="b">
        <f>AND(Q21="Arena",R25=TRUE)</f>
        <v>1</v>
      </c>
      <c r="T25" s="52" t="str">
        <f>IF(AND(S25=TRUE,D19&gt;12,D19&lt;50)," limosa","")</f>
        <v xml:space="preserve"> limosa</v>
      </c>
      <c r="U25" s="52" t="str">
        <f>IF(T25=" limosa"," SM","")</f>
        <v xml:space="preserve"> SM</v>
      </c>
      <c r="V25" s="86"/>
      <c r="W25" s="52"/>
      <c r="X25" s="52"/>
      <c r="Y25" s="52"/>
      <c r="Z25" s="52"/>
      <c r="AA25" s="52"/>
    </row>
    <row r="26" spans="1:27" ht="15" thickBot="1">
      <c r="B26" s="120" t="s">
        <v>175</v>
      </c>
      <c r="C26" s="121"/>
      <c r="D26" s="122"/>
      <c r="E26" s="123">
        <f>D19</f>
        <v>17.326860739133082</v>
      </c>
      <c r="F26" s="124" t="s">
        <v>31</v>
      </c>
      <c r="I26" s="735" t="str">
        <f>IF(AND(C4="",C5="",C6="",C7="",C8="",C9="",C10="",C11="",C12="",C13="",C14="",C15="",C16="",C17="",C18="",C19=""),"",P65)</f>
        <v>A-1-b Fragmentos de roca, grava y arena</v>
      </c>
      <c r="J26" s="125"/>
      <c r="K26" s="125"/>
      <c r="L26" s="126"/>
      <c r="N26" s="85"/>
      <c r="O26" s="52"/>
      <c r="P26" s="52"/>
      <c r="Q26" s="52"/>
      <c r="R26" s="52" t="b">
        <f>AND(D19&gt;12,C23&gt;(0.73*(C21-20)),C23&gt;=4,C23&lt;=7)</f>
        <v>0</v>
      </c>
      <c r="S26" s="52" t="b">
        <f>AND(Q21="Arena",R26=TRUE)</f>
        <v>0</v>
      </c>
      <c r="T26" s="52" t="str">
        <f>IF(AND(S26=TRUE,D19&gt;12,D19&lt;50)," arcilloso-limosa","")</f>
        <v/>
      </c>
      <c r="U26" s="52" t="str">
        <f>IF(T26=" arcilloso-limosa"," SC-SM","")</f>
        <v/>
      </c>
      <c r="V26" s="86"/>
      <c r="W26" s="52"/>
    </row>
    <row r="27" spans="1:27" ht="15" thickBot="1">
      <c r="B27" s="120" t="s">
        <v>176</v>
      </c>
      <c r="C27" s="121"/>
      <c r="D27" s="122"/>
      <c r="E27" s="123">
        <f>IF(X20=TRUE,X19,"")</f>
        <v>4.2500872772773981</v>
      </c>
      <c r="F27" s="127" t="s">
        <v>54</v>
      </c>
      <c r="L27" s="128">
        <f>IF(OR(P53="A-2-6",P54="A-2-7"),IF(C23="","",ROUND(0.01*(D19-15)*(C23-10),0)),IF(C23="","",ROUND((D19-35)*(0.2+0.005*(C21-40))+0.01*(D19-15)*(C23-10),0)))</f>
        <v>0</v>
      </c>
      <c r="N27" s="85"/>
      <c r="O27" s="52"/>
      <c r="P27" s="52"/>
      <c r="Q27" s="52"/>
      <c r="R27" s="52" t="b">
        <f>AND(D19&gt;=5,D19&lt;=12,E30&gt;=4,E31&gt;=1,E31&lt;=3)</f>
        <v>0</v>
      </c>
      <c r="S27" s="52" t="b">
        <f>AND(Q21="Arena",R27=TRUE)</f>
        <v>0</v>
      </c>
      <c r="T27" s="52" t="str">
        <f>IF(S27=TRUE," bien graduada","")</f>
        <v/>
      </c>
      <c r="U27" s="52" t="str">
        <f>IF(T27=" bien graduada"," SW","")</f>
        <v/>
      </c>
      <c r="V27" s="86"/>
      <c r="W27" s="52"/>
    </row>
    <row r="28" spans="1:27" ht="15" thickBot="1">
      <c r="B28" s="120" t="s">
        <v>177</v>
      </c>
      <c r="C28" s="121"/>
      <c r="D28" s="122"/>
      <c r="E28" s="123">
        <f>IF(Y20=TRUE,Y19,"")</f>
        <v>0.42955569148806183</v>
      </c>
      <c r="F28" s="127" t="s">
        <v>54</v>
      </c>
      <c r="I28" s="129" t="s">
        <v>178</v>
      </c>
      <c r="J28" s="130"/>
      <c r="K28" s="131"/>
      <c r="L28" s="742" t="str">
        <f>IF(AND(C21=0,C22=0),"",IF(L27&lt;0,0,L27))</f>
        <v/>
      </c>
      <c r="N28" s="85"/>
      <c r="O28" s="52"/>
      <c r="P28" s="52"/>
      <c r="Q28" s="52"/>
      <c r="R28" s="52" t="b">
        <f>AND(D19&gt;=5,D19&lt;=12,OR(E30&lt;4,E31&lt;1,E31&gt;3))</f>
        <v>0</v>
      </c>
      <c r="S28" s="52" t="b">
        <f>AND(Q21="Arena",R28=TRUE)</f>
        <v>0</v>
      </c>
      <c r="T28" s="52" t="str">
        <f>IF(S28=TRUE," mal graduada","")</f>
        <v/>
      </c>
      <c r="U28" s="52" t="str">
        <f>IF(T28=" mal graduada"," SP","")</f>
        <v/>
      </c>
      <c r="V28" s="86"/>
      <c r="W28" s="52"/>
    </row>
    <row r="29" spans="1:27">
      <c r="B29" s="132" t="s">
        <v>179</v>
      </c>
      <c r="C29" s="133"/>
      <c r="D29" s="134"/>
      <c r="E29" s="135" t="str">
        <f>IF(Z20=TRUE,Z19,"")</f>
        <v/>
      </c>
      <c r="F29" s="136" t="s">
        <v>54</v>
      </c>
      <c r="N29" s="85"/>
      <c r="O29" s="52"/>
      <c r="P29" s="52"/>
      <c r="Q29" s="52"/>
      <c r="R29" s="52" t="b">
        <f>AND(D19&gt;=5,D19&lt;=12,OR(AND(C21&lt;=30,C23&gt;7),AND(C21&gt;30,C23&gt;(0.73*(C21-20)))))</f>
        <v>0</v>
      </c>
      <c r="S29" s="52" t="b">
        <f>AND(Q21="Arena",R29=TRUE)</f>
        <v>0</v>
      </c>
      <c r="T29" s="52" t="str">
        <f>IF(S29=TRUE," con arcilla","")</f>
        <v/>
      </c>
      <c r="U29" s="52" t="str">
        <f>IF(T29=" con arcilla"," SC","")</f>
        <v/>
      </c>
      <c r="V29" s="86"/>
      <c r="W29" s="52"/>
    </row>
    <row r="30" spans="1:27" ht="12.75" customHeight="1">
      <c r="B30" s="120" t="s">
        <v>180</v>
      </c>
      <c r="C30" s="121"/>
      <c r="D30" s="122"/>
      <c r="E30" s="123" t="str">
        <f>IF(OR(E27="",E28="",E29=""),"",E27/E29)</f>
        <v/>
      </c>
      <c r="F30" s="107"/>
      <c r="I30" s="137"/>
      <c r="J30" s="137"/>
      <c r="K30" s="137"/>
      <c r="L30" s="137"/>
      <c r="M30" s="138"/>
      <c r="N30" s="85"/>
      <c r="O30" s="52"/>
      <c r="P30" s="52"/>
      <c r="Q30" s="52"/>
      <c r="R30" s="52" t="b">
        <f>AND(D19&gt;=5,D19&lt;=12,OR(C23&lt;4,C23&lt;(0.73*(C21-20))))</f>
        <v>0</v>
      </c>
      <c r="S30" s="52" t="b">
        <f>AND(Q21="Arena",R30=TRUE)</f>
        <v>0</v>
      </c>
      <c r="T30" s="52" t="str">
        <f>IF(S30=TRUE," con limo","")</f>
        <v/>
      </c>
      <c r="U30" s="52" t="str">
        <f>IF(T30=" con limo"," SM","")</f>
        <v/>
      </c>
      <c r="V30" s="86"/>
      <c r="W30" s="52"/>
    </row>
    <row r="31" spans="1:27" ht="13.5" customHeight="1" thickBot="1">
      <c r="B31" s="139" t="s">
        <v>181</v>
      </c>
      <c r="C31" s="140"/>
      <c r="D31" s="141"/>
      <c r="E31" s="142" t="str">
        <f>IF(OR(E27="",E28="",E29=""),"",(E28*E28)/(E29*E27))</f>
        <v/>
      </c>
      <c r="F31" s="111"/>
      <c r="I31" s="137"/>
      <c r="J31" s="137"/>
      <c r="K31" s="137"/>
      <c r="L31" s="137"/>
      <c r="M31" s="138"/>
      <c r="N31" s="85"/>
      <c r="O31" s="52"/>
      <c r="P31" s="52"/>
      <c r="Q31" s="52"/>
      <c r="R31" s="52" t="b">
        <f>AND(D19&gt;=5,D19&lt;=12,C23&gt;(0.73*(C21-20)),C23&gt;=4,C23&lt;=7)</f>
        <v>0</v>
      </c>
      <c r="S31" s="52" t="b">
        <f>AND(Q21="Arena",R31=TRUE)</f>
        <v>0</v>
      </c>
      <c r="T31" s="52" t="str">
        <f>IF(S31=TRUE," con arcilla y limo","")</f>
        <v/>
      </c>
      <c r="U31" s="52" t="str">
        <f>IF(T31=" con arcilla y limo"," SC","")</f>
        <v/>
      </c>
      <c r="V31" s="86"/>
      <c r="W31" s="52"/>
    </row>
    <row r="32" spans="1:27" ht="13.5" customHeight="1">
      <c r="I32" s="137"/>
      <c r="J32" s="137"/>
      <c r="K32" s="137"/>
      <c r="L32" s="137"/>
      <c r="M32" s="138"/>
      <c r="N32" s="85"/>
      <c r="O32" s="52"/>
      <c r="P32" s="52"/>
      <c r="Q32" s="52"/>
      <c r="R32" s="52"/>
      <c r="S32" s="52" t="b">
        <f>AND(Q21="Arena",(F4+F5+F6+F7+F8+F9+F10+F11+F12+F13+F14)&gt;15)</f>
        <v>1</v>
      </c>
      <c r="T32" s="52" t="str">
        <f>IF(S32=TRUE," con grava","")</f>
        <v xml:space="preserve"> con grava</v>
      </c>
      <c r="U32" s="52"/>
      <c r="V32" s="86"/>
      <c r="W32" s="52"/>
    </row>
    <row r="33" spans="9:23" ht="12.75" customHeight="1">
      <c r="N33" s="85"/>
      <c r="O33" s="52"/>
      <c r="P33" s="52"/>
      <c r="Q33" s="52"/>
      <c r="R33" s="52"/>
      <c r="S33" s="52"/>
      <c r="T33" s="52"/>
      <c r="U33" s="52"/>
      <c r="V33" s="86"/>
      <c r="W33" s="52"/>
    </row>
    <row r="34" spans="9:23" ht="12.75" customHeight="1">
      <c r="N34" s="85"/>
      <c r="O34" s="52"/>
      <c r="P34" s="52"/>
      <c r="Q34" s="143" t="str">
        <f>IF(D19&gt;=50,"Suelo de partículas finas.","")</f>
        <v/>
      </c>
      <c r="R34" s="52"/>
      <c r="S34" s="52"/>
      <c r="T34" s="52"/>
      <c r="U34" s="52"/>
      <c r="V34" s="86"/>
      <c r="W34" s="52"/>
    </row>
    <row r="35" spans="9:23" ht="13.5" customHeight="1">
      <c r="N35" s="85" t="str">
        <f>IF(E26&gt;=50,"SI","No")</f>
        <v>No</v>
      </c>
      <c r="O35" s="52"/>
      <c r="P35" s="52"/>
      <c r="Q35" s="52"/>
      <c r="R35" s="52" t="b">
        <f>AND(C23&gt;(0.73*(C21-20)),C23&gt;7,C21&lt;30)</f>
        <v>0</v>
      </c>
      <c r="S35" s="52" t="b">
        <f>AND(N35="SI",R35=TRUE)</f>
        <v>0</v>
      </c>
      <c r="T35" s="52" t="str">
        <f>IF(S35=TRUE,"Arcilla baja plasticidad","")</f>
        <v/>
      </c>
      <c r="U35" s="52" t="str">
        <f>IF(T35="Arcilla baja plasticidad"," CL","")</f>
        <v/>
      </c>
      <c r="V35" s="86" t="str">
        <f>IF(AND(D19&gt;=50,E19&lt;30,E19&gt;15,(F4+F5+F6+F7+F8+F9+F10+F11+F12+F13+F14)&lt;=(F15+F16+F17+F18+F19))," con arena","")</f>
        <v/>
      </c>
      <c r="W35" s="52"/>
    </row>
    <row r="36" spans="9:23" ht="13.5" customHeight="1">
      <c r="N36" s="85"/>
      <c r="O36" s="52"/>
      <c r="P36" s="52"/>
      <c r="Q36" s="52"/>
      <c r="R36" s="52" t="b">
        <f>AND(C23&gt;(0.73*(C21-20)),C23&gt;4,C21&gt;=50)</f>
        <v>0</v>
      </c>
      <c r="S36" s="52" t="b">
        <f>AND(N35="SI",R36=TRUE)</f>
        <v>0</v>
      </c>
      <c r="T36" s="52" t="str">
        <f>IF(S36=TRUE,"Arcilla alta plasticidad","")</f>
        <v/>
      </c>
      <c r="U36" s="52" t="str">
        <f>IF(T36="Arcilla alta plasticidad"," CH","")</f>
        <v/>
      </c>
      <c r="V36" s="86" t="str">
        <f>IF(AND(D19&gt;=50,E19&lt;30,E19&gt;15,(F4+F5+F6+F7+F8+F9+F10+F11+F12+F13+F14)&gt;(F15+F16+F17+F18+F19))," con grava","")</f>
        <v/>
      </c>
      <c r="W36" s="52"/>
    </row>
    <row r="37" spans="9:23">
      <c r="N37" s="85"/>
      <c r="O37" s="52"/>
      <c r="P37" s="52"/>
      <c r="Q37" s="52"/>
      <c r="R37" s="52" t="b">
        <f>AND(C23&gt;=(0.73*(C21-20)),C23&gt;=4,C23&lt;=7)</f>
        <v>0</v>
      </c>
      <c r="S37" s="52" t="b">
        <f>AND(N35="SI",R37=TRUE)</f>
        <v>0</v>
      </c>
      <c r="T37" s="52" t="str">
        <f>IF(S37=TRUE,"Arcilla limosa","")</f>
        <v/>
      </c>
      <c r="U37" s="52" t="str">
        <f>IF(T37="Arcilla limosa"," CL-ML","")</f>
        <v/>
      </c>
      <c r="V37" s="86" t="str">
        <f>IF(AND(D19&gt;=50,E19&gt;=30,(F4+F5+F6+F7+F8+F9+F10+F11+F12+F13+F14)&lt;=(F15+F16+F17+F18+F19),OR(T35="Arcilla baja plasticidad",T36="Arcilla alta plasticidad",T37="Arcilla limosa",T40="Arcilla media plasticidad"))," arenosa","")</f>
        <v/>
      </c>
      <c r="W37" s="52"/>
    </row>
    <row r="38" spans="9:23">
      <c r="N38" s="85"/>
      <c r="O38" s="52"/>
      <c r="P38" s="52"/>
      <c r="Q38" s="52"/>
      <c r="R38" s="52" t="b">
        <f>AND(OR(C23&lt;(0.73*(C21-20)),C23&lt;4),C21&lt;30)</f>
        <v>1</v>
      </c>
      <c r="S38" s="52" t="b">
        <f>AND(N35="SI",R38=TRUE)</f>
        <v>0</v>
      </c>
      <c r="T38" s="52" t="str">
        <f>IF(S38=TRUE,"Limo baja plasticidad","")</f>
        <v/>
      </c>
      <c r="U38" s="52" t="str">
        <f>IF(T38="Limo baja plasticidad"," ML","")</f>
        <v/>
      </c>
      <c r="V38" s="86" t="str">
        <f>IF(AND(D19&gt;=50,E19&gt;=30,(F4+F5+F6+F7+F8+F9+F10+F11+F12+F13+F14)&gt;(F15+F16+F17+F18+F19),OR(T35="Arcilla baja plasticidad",T36="Arcilla alta plasticidad",T37="Arcilla limosa",T40="Arcilla media plasticidad"))," gravosa","")</f>
        <v/>
      </c>
      <c r="W38" s="52"/>
    </row>
    <row r="39" spans="9:23" ht="12.75" customHeight="1">
      <c r="N39" s="85"/>
      <c r="O39" s="52"/>
      <c r="P39" s="52"/>
      <c r="Q39" s="52"/>
      <c r="R39" s="52" t="b">
        <f>AND(OR(C23&lt;(0.73*(C21-20)),C23&lt;4),C21&gt;=50)</f>
        <v>0</v>
      </c>
      <c r="S39" s="52" t="b">
        <f>AND(N35="SI",R39=TRUE)</f>
        <v>0</v>
      </c>
      <c r="T39" s="52" t="str">
        <f>IF(S39=TRUE,"Limo alta plasticidad","")</f>
        <v/>
      </c>
      <c r="U39" s="52" t="str">
        <f>IF(T39="Limo alta plasticidad"," MH","")</f>
        <v/>
      </c>
      <c r="V39" s="86" t="str">
        <f>IF(AND(D19&gt;=50,E19&gt;=30,(F4+F5+F6+F7+F8+F9+F10+F11+F12+F13+F14)&lt;=(F15+F16+F17+F18+F19),OR(T38="Limo baja plasticidad",T39="Limo alta plasticidad",T41="Limo baja plasticidad"))," arenoso","")</f>
        <v/>
      </c>
      <c r="W39" s="52"/>
    </row>
    <row r="40" spans="9:23">
      <c r="N40" s="85"/>
      <c r="O40" s="52"/>
      <c r="P40" s="52"/>
      <c r="Q40" s="52"/>
      <c r="R40" s="52" t="b">
        <f>AND(C23&gt;(0.73*(C21-20)),C23&gt;7,AND(C21&gt;=30,C21&lt;50))</f>
        <v>0</v>
      </c>
      <c r="S40" s="52" t="b">
        <f>AND(N35="SI",R40=TRUE)</f>
        <v>0</v>
      </c>
      <c r="T40" s="52" t="str">
        <f>IF(S40=TRUE,"Arcilla media plasticidad","")</f>
        <v/>
      </c>
      <c r="U40" s="52" t="str">
        <f>IF(T40="Arcilla media plasticidad"," CL","")</f>
        <v/>
      </c>
      <c r="V40" s="86" t="str">
        <f>IF(AND(D19&gt;=50,E19&gt;=30,(F4+F5+F6+F7+F8+F9+F10+F11+F12+F13+F14)&gt;(F15+F16+F17+F18+F19),OR(T38="Limo baja plasticidad",T39="Limo alta plasticidad",T41="Limo baja plasticidad"))," gravoso","")</f>
        <v/>
      </c>
      <c r="W40" s="52"/>
    </row>
    <row r="41" spans="9:23" ht="13.5" customHeight="1">
      <c r="N41" s="85"/>
      <c r="O41" s="52"/>
      <c r="P41" s="52"/>
      <c r="Q41" s="52"/>
      <c r="R41" s="52" t="b">
        <f>AND(OR(C23&lt;(0.73*(C21-20)),C23&lt;4),AND(C21&gt;30,C21&lt;50))</f>
        <v>0</v>
      </c>
      <c r="S41" s="52" t="b">
        <f>AND(N35="SI",R41=TRUE)</f>
        <v>0</v>
      </c>
      <c r="T41" s="52" t="str">
        <f>IF(S41=TRUE,"Limo baja plasticidad","")</f>
        <v/>
      </c>
      <c r="U41" s="52" t="str">
        <f>IF(T41="Limo baja plasticidad"," ML","")</f>
        <v/>
      </c>
      <c r="V41" s="86"/>
      <c r="W41" s="52"/>
    </row>
    <row r="42" spans="9:23" ht="12.75" customHeight="1">
      <c r="N42" s="62" t="str">
        <f>CONCATENATE(Q5,Q6,Q7,Q8,Q34)</f>
        <v>Suelo de partículas gruesas. Suelo de partículas gruesas con finos (suelo sucio).</v>
      </c>
      <c r="O42" s="63"/>
      <c r="P42" s="63"/>
      <c r="Q42" s="64"/>
      <c r="R42" s="63"/>
      <c r="S42" s="63"/>
      <c r="T42" s="63"/>
      <c r="U42" s="63"/>
      <c r="V42" s="64"/>
      <c r="W42" s="52"/>
    </row>
    <row r="43" spans="9:23">
      <c r="N43" s="75" t="str">
        <f>CONCATENATE(Q9,Q21)</f>
        <v>Arena</v>
      </c>
      <c r="O43" s="76" t="str">
        <f>CONCATENATE(T10,T11,T12,T13,T14,T15,T16,T17,T18,T19,T20,T22,T23,T24,T25,T26,T27,T28,T29,T30,T31,T32,T35,T36,T37,T38,T39,T40,T41)</f>
        <v xml:space="preserve"> limosa con grava</v>
      </c>
      <c r="P43" s="76" t="str">
        <f>CONCATENATE(V35,V36,V37,V38,V39,V40,V9)</f>
        <v xml:space="preserve"> con bloques</v>
      </c>
      <c r="Q43" s="77" t="str">
        <f>CONCATENATE(U10,U11,U12,U13,U14,U15,U16,U17,U18,U19,U22,U23,U24,U25,U26,U27,U28,U29,U30,U31,U35,U36,U37,U38,U39,U40,U41)</f>
        <v xml:space="preserve"> SM</v>
      </c>
      <c r="R43" s="76" t="str">
        <f>CONCATENATE(N43,O43,P43,Q43)</f>
        <v>Arena limosa con grava con bloques SM</v>
      </c>
      <c r="S43" s="76"/>
      <c r="T43" s="76"/>
      <c r="U43" s="76"/>
      <c r="V43" s="77"/>
      <c r="W43" s="52"/>
    </row>
    <row r="45" spans="9:23" ht="13.5" customHeight="1">
      <c r="L45" s="144"/>
      <c r="N45" s="99" t="s">
        <v>167</v>
      </c>
      <c r="O45" s="145"/>
      <c r="P45" s="145"/>
      <c r="Q45" s="101"/>
    </row>
    <row r="46" spans="9:23" ht="12.75" customHeight="1">
      <c r="I46" s="52"/>
      <c r="J46" s="52"/>
      <c r="K46" s="146"/>
      <c r="L46" s="52"/>
      <c r="N46" s="62" t="str">
        <f>IF(ROUND(D19,0)&lt;=35,"Material granular","")</f>
        <v>Material granular</v>
      </c>
      <c r="O46" s="63"/>
      <c r="P46" s="63"/>
      <c r="Q46" s="64"/>
    </row>
    <row r="47" spans="9:23" ht="13.5" customHeight="1">
      <c r="I47" s="52"/>
      <c r="J47" s="52"/>
      <c r="K47" s="146"/>
      <c r="L47" s="52"/>
      <c r="N47" s="85" t="str">
        <f>IF(N46="Material granular","Excelente a bueno como subgrado","")</f>
        <v>Excelente a bueno como subgrado</v>
      </c>
      <c r="O47" s="52"/>
      <c r="P47" s="52"/>
      <c r="Q47" s="86"/>
    </row>
    <row r="48" spans="9:23" ht="12.75" customHeight="1">
      <c r="I48" s="52"/>
      <c r="J48" s="52"/>
      <c r="K48" s="146"/>
      <c r="L48" s="52"/>
      <c r="N48" s="85"/>
      <c r="O48" s="52"/>
      <c r="P48" s="52" t="str">
        <f>IF(AND(ROUND(D19,0)&lt;=35,ROUND(D15,0)&lt;=50,ROUND(D17,0)&lt;=30,ROUND(D19,0)&lt;=15,ROUND(C23,0)&lt;=6),"A-1-a","")</f>
        <v/>
      </c>
      <c r="Q48" s="86" t="str">
        <f>IF(P48="A-1-a"," Fragmentos de roca, grava y arena","")</f>
        <v/>
      </c>
    </row>
    <row r="49" spans="2:20" ht="12.75" customHeight="1">
      <c r="I49" s="52"/>
      <c r="J49" s="52"/>
      <c r="K49" s="146"/>
      <c r="L49" s="52"/>
      <c r="N49" s="85"/>
      <c r="O49" s="52"/>
      <c r="P49" s="52" t="str">
        <f>IF(AND(ROUND(D19,0)&lt;=35,ROUND(D17,0)&lt;=50,ROUND(D19,0)&lt;=25,ROUND(C23,0)&lt;=6,P48=""),"A-1-b","")</f>
        <v>A-1-b</v>
      </c>
      <c r="Q49" s="86" t="str">
        <f>IF(P49="A-1-b"," Fragmentos de roca, grava y arena","")</f>
        <v xml:space="preserve"> Fragmentos de roca, grava y arena</v>
      </c>
    </row>
    <row r="50" spans="2:20">
      <c r="I50" s="52"/>
      <c r="J50" s="52"/>
      <c r="K50" s="52"/>
      <c r="L50" s="52"/>
      <c r="N50" s="85"/>
      <c r="O50" s="52"/>
      <c r="P50" s="52" t="str">
        <f>IF(AND(ROUND(D19,0)&lt;=35,ROUND(D17,0)&gt;=51,ROUND(D19,0)&lt;=10,OR(ROUND(C23,0)=0,ROUND(C23,0)=""),P48="",P49=""),"A-3","")</f>
        <v/>
      </c>
      <c r="Q50" s="86" t="str">
        <f>IF(P50="A-3"," Arena fina","")</f>
        <v/>
      </c>
    </row>
    <row r="51" spans="2:20" ht="12.75" customHeight="1">
      <c r="I51" s="52"/>
      <c r="J51" s="147"/>
      <c r="K51" s="148"/>
      <c r="L51" s="52"/>
      <c r="N51" s="85"/>
      <c r="O51" s="52"/>
      <c r="P51" s="52" t="str">
        <f>IF(AND(ROUND(D19,0)&lt;=35,ROUND(C21,0)&lt;=40,ROUND(C23,0)&lt;=10,P48="",P49="",P50=""),"A-2-4","")</f>
        <v/>
      </c>
      <c r="Q51" s="86" t="str">
        <f>IF(P51="A-2-4"," Grava y arena arcillosa o limosa","")</f>
        <v/>
      </c>
    </row>
    <row r="52" spans="2:20">
      <c r="I52" s="52"/>
      <c r="J52" s="52"/>
      <c r="K52" s="52"/>
      <c r="L52" s="52"/>
      <c r="N52" s="85"/>
      <c r="O52" s="52"/>
      <c r="P52" s="52" t="str">
        <f>IF(AND(ROUND(D19,0)&lt;=35,ROUND(C21,0)&gt;=41,ROUND(C23,0)&lt;=10,P48="",P49="",P50="",P51=""),"A-2-5","")</f>
        <v/>
      </c>
      <c r="Q52" s="86" t="str">
        <f>IF(P52="A-2-5"," Grava y arena arcillosa o limosa","")</f>
        <v/>
      </c>
      <c r="T52" s="149"/>
    </row>
    <row r="53" spans="2:20" ht="13.5" customHeight="1">
      <c r="I53" s="52"/>
      <c r="J53" s="52"/>
      <c r="K53" s="52"/>
      <c r="L53" s="52"/>
      <c r="N53" s="85"/>
      <c r="O53" s="52"/>
      <c r="P53" s="52" t="str">
        <f>IF(AND(ROUND(D19,0)&lt;=35,ROUND(C21,0)&lt;=40,ROUND(C23,0)&gt;=11,P48="",P49="",P50="",P51="",P52=""),"A-2-6","")</f>
        <v/>
      </c>
      <c r="Q53" s="86" t="str">
        <f>IF(P53="A-2-6"," Grava y arena arcillosa o limosa","")</f>
        <v/>
      </c>
      <c r="T53" s="149"/>
    </row>
    <row r="54" spans="2:20" ht="12.75" customHeight="1">
      <c r="I54" s="52"/>
      <c r="J54" s="52"/>
      <c r="K54" s="52"/>
      <c r="L54" s="52"/>
      <c r="N54" s="85"/>
      <c r="O54" s="52"/>
      <c r="P54" s="52" t="str">
        <f>IF(AND(ROUND(D19,0)&lt;=35,ROUND(C21,0)&gt;=41,ROUND(C23,0)&gt;=11,P48="",P49="",P50="",P51="",P52="",P53=""),"A-2-7","")</f>
        <v/>
      </c>
      <c r="Q54" s="86" t="str">
        <f>IF(P54="A-2-7"," Grava y arena arcillosa o limosa","")</f>
        <v/>
      </c>
      <c r="T54" s="149"/>
    </row>
    <row r="55" spans="2:20">
      <c r="I55" s="52"/>
      <c r="J55" s="147"/>
      <c r="K55" s="148"/>
      <c r="L55" s="52"/>
      <c r="N55" s="85" t="str">
        <f>IF(ROUND(D19,0)&gt;35,"Material limoso-arenoso","")</f>
        <v/>
      </c>
      <c r="O55" s="52"/>
      <c r="P55" s="52"/>
      <c r="Q55" s="86"/>
    </row>
    <row r="56" spans="2:20">
      <c r="N56" s="85" t="str">
        <f>IF(N55="Material limoso-arenoso","Pobre a malo como subgrado","")</f>
        <v/>
      </c>
      <c r="O56" s="52"/>
      <c r="P56" s="52"/>
      <c r="Q56" s="86"/>
    </row>
    <row r="57" spans="2:20" ht="12.75" customHeight="1">
      <c r="B57" s="51">
        <f>0.9*(D57-8)</f>
        <v>-7.2</v>
      </c>
      <c r="D57" s="51">
        <v>0</v>
      </c>
      <c r="E57" s="150"/>
      <c r="F57" s="150"/>
      <c r="N57" s="85"/>
      <c r="O57" s="52"/>
      <c r="P57" s="52" t="str">
        <f>IF(AND(ROUND(D19,0)&gt;=36,ROUND(C21,0)&lt;=40,ROUND(C23,0)&lt;=10),"A-4","")</f>
        <v/>
      </c>
      <c r="Q57" s="86" t="str">
        <f>IF(P57="A-4"," Suelo limoso","")</f>
        <v/>
      </c>
    </row>
    <row r="58" spans="2:20" ht="12.75" customHeight="1">
      <c r="B58" s="51">
        <f>0.9*(D58-8)</f>
        <v>15.732000000000001</v>
      </c>
      <c r="D58" s="51">
        <v>25.48</v>
      </c>
      <c r="E58" s="150">
        <f>IF(0.73*(D58-20)&lt;0,0,0.73*(D58-20))</f>
        <v>4.0004</v>
      </c>
      <c r="F58" s="150"/>
      <c r="N58" s="85"/>
      <c r="O58" s="52"/>
      <c r="P58" s="52" t="str">
        <f>IF(AND(ROUND(D19,0)&gt;=36,ROUND(C21,0)&gt;=41,ROUND(C23,0)&lt;=10,P57=""),"A-5","")</f>
        <v/>
      </c>
      <c r="Q58" s="86" t="str">
        <f>IF(P58="A-5"," Suelo limoso","")</f>
        <v/>
      </c>
    </row>
    <row r="59" spans="2:20">
      <c r="B59" s="51">
        <f>0.9*(D59-8)</f>
        <v>82.8</v>
      </c>
      <c r="D59" s="51">
        <v>100</v>
      </c>
      <c r="E59" s="150">
        <f>IF(0.73*(D59-20)&lt;0,0,0.73*(D59-20))</f>
        <v>58.4</v>
      </c>
      <c r="F59" s="150"/>
      <c r="N59" s="85"/>
      <c r="O59" s="52"/>
      <c r="P59" s="52" t="str">
        <f>IF(AND(ROUND(D19,0)&gt;=36,ROUND(C21,0)&lt;=40,ROUND(C23,0)&gt;=11,P57="",P58=""),"A-6","")</f>
        <v/>
      </c>
      <c r="Q59" s="86" t="str">
        <f>IF(P59="A-6"," Suelo arcilloso","")</f>
        <v/>
      </c>
    </row>
    <row r="60" spans="2:20">
      <c r="E60" s="150"/>
      <c r="F60" s="150"/>
      <c r="N60" s="85"/>
      <c r="O60" s="52"/>
      <c r="P60" s="52" t="str">
        <f>IF(AND(ROUND(D19,0)&gt;=36,ROUND(C21,0)&gt;=41,ROUND(C23,0)&gt;=11,ROUND(C23,0)&lt;=(ROUND(C21,0)-30),P57="",P58="",P59=""),"A-7-5","")</f>
        <v/>
      </c>
      <c r="Q60" s="86" t="str">
        <f>IF(P60="A-7-5"," Suelo arcilloso","")</f>
        <v/>
      </c>
    </row>
    <row r="61" spans="2:20" ht="13.5" customHeight="1">
      <c r="B61" s="51">
        <v>50</v>
      </c>
      <c r="D61" s="51">
        <v>0</v>
      </c>
      <c r="E61" s="51">
        <v>4</v>
      </c>
      <c r="F61" s="151">
        <v>10</v>
      </c>
      <c r="N61" s="85"/>
      <c r="O61" s="52"/>
      <c r="P61" s="52" t="str">
        <f>IF(AND(ROUND(D19,0)&gt;=36,ROUND(C21,0)&gt;=41,ROUND(C23,0)&gt;=11,ROUND(C23,0)&gt;(ROUND(C21,0)-30),P57="",P58="",P59="",P60=""),"A-7-6","")</f>
        <v/>
      </c>
      <c r="Q61" s="86" t="str">
        <f>IF(P61="A-7-6"," Suelo arcilloso","")</f>
        <v/>
      </c>
    </row>
    <row r="62" spans="2:20">
      <c r="B62" s="51">
        <v>50</v>
      </c>
      <c r="D62" s="51">
        <v>60</v>
      </c>
      <c r="E62" s="51">
        <v>4</v>
      </c>
      <c r="F62" s="151">
        <v>25</v>
      </c>
      <c r="N62" s="75"/>
      <c r="O62" s="76"/>
      <c r="P62" s="76" t="str">
        <f>IF(AND(ROUND(D19,0)&gt;=36,ROUND(C21,0)&gt;=41,ROUND(C23,0)&gt;=11,P57="",P58="",P59="",P60="",P61=""),"A-7","")</f>
        <v/>
      </c>
      <c r="Q62" s="77" t="str">
        <f>IF(P62="A-7"," Suelo arcilloso","")</f>
        <v/>
      </c>
    </row>
    <row r="63" spans="2:20">
      <c r="F63" s="151"/>
      <c r="N63" s="737" t="str">
        <f>CONCATENATE(N46,N55)</f>
        <v>Material granular</v>
      </c>
      <c r="O63" s="152"/>
      <c r="P63" s="153"/>
      <c r="Q63" s="153"/>
    </row>
    <row r="64" spans="2:20">
      <c r="B64" s="51">
        <v>30</v>
      </c>
      <c r="D64" s="51">
        <v>8</v>
      </c>
      <c r="E64" s="51">
        <v>20</v>
      </c>
      <c r="F64" s="154" t="e">
        <f>IF(#REF!&lt;0,0,#REF!)</f>
        <v>#REF!</v>
      </c>
      <c r="N64" s="738" t="str">
        <f>CONCATENATE(N47,N56)</f>
        <v>Excelente a bueno como subgrado</v>
      </c>
      <c r="O64" s="739"/>
      <c r="P64" s="739"/>
      <c r="Q64" s="740"/>
    </row>
    <row r="65" spans="2:17" ht="12.75" customHeight="1">
      <c r="B65" s="51">
        <v>30</v>
      </c>
      <c r="D65" s="51">
        <v>20</v>
      </c>
      <c r="E65" s="51">
        <v>25.48</v>
      </c>
      <c r="F65" s="154">
        <v>4</v>
      </c>
      <c r="N65" s="741" t="str">
        <f>CONCATENATE(P48,P49,P50,P51,P52,P53,P54,P55,P56,P57,P58,P59,P60,P61,P62)</f>
        <v>A-1-b</v>
      </c>
      <c r="O65" s="741" t="str">
        <f>CONCATENATE(Q48,Q49,Q50,Q51,Q52,Q53,Q54,Q55,Q56,Q57,Q58,Q59,Q60,Q61,Q62)</f>
        <v xml:space="preserve"> Fragmentos de roca, grava y arena</v>
      </c>
      <c r="P65" s="155" t="str">
        <f>CONCATENATE(N65,O65)</f>
        <v>A-1-b Fragmentos de roca, grava y arena</v>
      </c>
      <c r="Q65" s="156"/>
    </row>
    <row r="66" spans="2:17">
      <c r="E66" s="150"/>
      <c r="F66" s="150"/>
    </row>
    <row r="67" spans="2:17">
      <c r="B67" s="51">
        <v>7</v>
      </c>
      <c r="D67" s="51">
        <v>10</v>
      </c>
      <c r="E67" s="150"/>
      <c r="F67" s="150"/>
    </row>
    <row r="68" spans="2:17" ht="13.5" customHeight="1">
      <c r="B68" s="51">
        <v>7</v>
      </c>
      <c r="D68" s="51">
        <v>30</v>
      </c>
      <c r="E68" s="150"/>
      <c r="F68" s="150"/>
    </row>
    <row r="69" spans="2:17" ht="12.75" customHeight="1"/>
    <row r="70" spans="2:17" ht="12.75" customHeight="1"/>
    <row r="71" spans="2:17" ht="15" thickBot="1"/>
    <row r="72" spans="2:17" ht="13.5" customHeight="1" thickBot="1">
      <c r="B72" s="1357" t="s">
        <v>170</v>
      </c>
      <c r="C72" s="1358"/>
      <c r="D72" s="1358"/>
      <c r="E72" s="1358"/>
      <c r="F72" s="1359"/>
    </row>
    <row r="73" spans="2:17">
      <c r="B73" s="1360" t="str">
        <f>IF(AND(C4="",C5="",C6="",C7="",C8="",C9="",C10="",C11="",C12="",C13="",C14="",C15="",C16="",C17="",C18="",C19=""),"",N42)</f>
        <v>Suelo de partículas gruesas. Suelo de partículas gruesas con finos (suelo sucio).</v>
      </c>
      <c r="C73" s="1361"/>
      <c r="D73" s="1361"/>
      <c r="E73" s="1361"/>
      <c r="F73" s="1362"/>
    </row>
    <row r="74" spans="2:17" ht="13.5" customHeight="1" thickBot="1">
      <c r="B74" s="1363" t="str">
        <f>IF(AND(C4="",C5="",C6="",C7="",C8="",C9="",C10="",C11="",C12="",C13="",C14="",C15="",C16="",C17="",C18="",C19=""),"",R43)</f>
        <v>Arena limosa con grava con bloques SM</v>
      </c>
      <c r="C74" s="1364"/>
      <c r="D74" s="1364"/>
      <c r="E74" s="1364"/>
      <c r="F74" s="1365"/>
    </row>
    <row r="75" spans="2:17">
      <c r="B75" s="157"/>
      <c r="C75" s="157"/>
    </row>
    <row r="77" spans="2:17" ht="12.75" customHeight="1"/>
  </sheetData>
  <mergeCells count="4">
    <mergeCell ref="I2:L2"/>
    <mergeCell ref="B72:F72"/>
    <mergeCell ref="B73:F73"/>
    <mergeCell ref="B74:F74"/>
  </mergeCells>
  <pageMargins left="0.7" right="0.7" top="0.75" bottom="0.75" header="0.3" footer="0.3"/>
  <pageSetup paperSize="9" orientation="portrait" horizontalDpi="4294967292" verticalDpi="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dimension ref="A1:Z61"/>
  <sheetViews>
    <sheetView workbookViewId="0">
      <selection activeCell="P12" sqref="P12"/>
    </sheetView>
  </sheetViews>
  <sheetFormatPr baseColWidth="10" defaultRowHeight="13.2"/>
  <cols>
    <col min="1" max="1" width="14.88671875" style="43" customWidth="1"/>
    <col min="2" max="4" width="8.6640625" style="43" customWidth="1"/>
    <col min="5" max="8" width="8.44140625" style="43" customWidth="1"/>
    <col min="9" max="10" width="8.6640625" style="43" customWidth="1"/>
    <col min="11" max="11" width="8.88671875" style="43" customWidth="1"/>
    <col min="12" max="12" width="8.44140625" style="43" customWidth="1"/>
    <col min="13" max="13" width="9.44140625" style="43" customWidth="1"/>
    <col min="14" max="14" width="3.109375" style="43" customWidth="1"/>
    <col min="15" max="16" width="11.44140625" style="43"/>
    <col min="17" max="20" width="0" style="43" hidden="1" customWidth="1"/>
    <col min="21" max="22" width="1.6640625" style="487" customWidth="1"/>
    <col min="23" max="256" width="11.44140625" style="43"/>
    <col min="257" max="257" width="14.88671875" style="43" customWidth="1"/>
    <col min="258" max="260" width="8.6640625" style="43" customWidth="1"/>
    <col min="261" max="264" width="8.44140625" style="43" customWidth="1"/>
    <col min="265" max="266" width="8.6640625" style="43" customWidth="1"/>
    <col min="267" max="267" width="8.88671875" style="43" customWidth="1"/>
    <col min="268" max="268" width="8.44140625" style="43" customWidth="1"/>
    <col min="269" max="269" width="9.44140625" style="43" customWidth="1"/>
    <col min="270" max="270" width="3.109375" style="43" customWidth="1"/>
    <col min="271" max="272" width="11.44140625" style="43"/>
    <col min="273" max="276" width="0" style="43" hidden="1" customWidth="1"/>
    <col min="277" max="278" width="1.6640625" style="43" customWidth="1"/>
    <col min="279" max="512" width="11.44140625" style="43"/>
    <col min="513" max="513" width="14.88671875" style="43" customWidth="1"/>
    <col min="514" max="516" width="8.6640625" style="43" customWidth="1"/>
    <col min="517" max="520" width="8.44140625" style="43" customWidth="1"/>
    <col min="521" max="522" width="8.6640625" style="43" customWidth="1"/>
    <col min="523" max="523" width="8.88671875" style="43" customWidth="1"/>
    <col min="524" max="524" width="8.44140625" style="43" customWidth="1"/>
    <col min="525" max="525" width="9.44140625" style="43" customWidth="1"/>
    <col min="526" max="526" width="3.109375" style="43" customWidth="1"/>
    <col min="527" max="528" width="11.44140625" style="43"/>
    <col min="529" max="532" width="0" style="43" hidden="1" customWidth="1"/>
    <col min="533" max="534" width="1.6640625" style="43" customWidth="1"/>
    <col min="535" max="768" width="11.44140625" style="43"/>
    <col min="769" max="769" width="14.88671875" style="43" customWidth="1"/>
    <col min="770" max="772" width="8.6640625" style="43" customWidth="1"/>
    <col min="773" max="776" width="8.44140625" style="43" customWidth="1"/>
    <col min="777" max="778" width="8.6640625" style="43" customWidth="1"/>
    <col min="779" max="779" width="8.88671875" style="43" customWidth="1"/>
    <col min="780" max="780" width="8.44140625" style="43" customWidth="1"/>
    <col min="781" max="781" width="9.44140625" style="43" customWidth="1"/>
    <col min="782" max="782" width="3.109375" style="43" customWidth="1"/>
    <col min="783" max="784" width="11.44140625" style="43"/>
    <col min="785" max="788" width="0" style="43" hidden="1" customWidth="1"/>
    <col min="789" max="790" width="1.6640625" style="43" customWidth="1"/>
    <col min="791" max="1024" width="11.44140625" style="43"/>
    <col min="1025" max="1025" width="14.88671875" style="43" customWidth="1"/>
    <col min="1026" max="1028" width="8.6640625" style="43" customWidth="1"/>
    <col min="1029" max="1032" width="8.44140625" style="43" customWidth="1"/>
    <col min="1033" max="1034" width="8.6640625" style="43" customWidth="1"/>
    <col min="1035" max="1035" width="8.88671875" style="43" customWidth="1"/>
    <col min="1036" max="1036" width="8.44140625" style="43" customWidth="1"/>
    <col min="1037" max="1037" width="9.44140625" style="43" customWidth="1"/>
    <col min="1038" max="1038" width="3.109375" style="43" customWidth="1"/>
    <col min="1039" max="1040" width="11.44140625" style="43"/>
    <col min="1041" max="1044" width="0" style="43" hidden="1" customWidth="1"/>
    <col min="1045" max="1046" width="1.6640625" style="43" customWidth="1"/>
    <col min="1047" max="1280" width="11.44140625" style="43"/>
    <col min="1281" max="1281" width="14.88671875" style="43" customWidth="1"/>
    <col min="1282" max="1284" width="8.6640625" style="43" customWidth="1"/>
    <col min="1285" max="1288" width="8.44140625" style="43" customWidth="1"/>
    <col min="1289" max="1290" width="8.6640625" style="43" customWidth="1"/>
    <col min="1291" max="1291" width="8.88671875" style="43" customWidth="1"/>
    <col min="1292" max="1292" width="8.44140625" style="43" customWidth="1"/>
    <col min="1293" max="1293" width="9.44140625" style="43" customWidth="1"/>
    <col min="1294" max="1294" width="3.109375" style="43" customWidth="1"/>
    <col min="1295" max="1296" width="11.44140625" style="43"/>
    <col min="1297" max="1300" width="0" style="43" hidden="1" customWidth="1"/>
    <col min="1301" max="1302" width="1.6640625" style="43" customWidth="1"/>
    <col min="1303" max="1536" width="11.44140625" style="43"/>
    <col min="1537" max="1537" width="14.88671875" style="43" customWidth="1"/>
    <col min="1538" max="1540" width="8.6640625" style="43" customWidth="1"/>
    <col min="1541" max="1544" width="8.44140625" style="43" customWidth="1"/>
    <col min="1545" max="1546" width="8.6640625" style="43" customWidth="1"/>
    <col min="1547" max="1547" width="8.88671875" style="43" customWidth="1"/>
    <col min="1548" max="1548" width="8.44140625" style="43" customWidth="1"/>
    <col min="1549" max="1549" width="9.44140625" style="43" customWidth="1"/>
    <col min="1550" max="1550" width="3.109375" style="43" customWidth="1"/>
    <col min="1551" max="1552" width="11.44140625" style="43"/>
    <col min="1553" max="1556" width="0" style="43" hidden="1" customWidth="1"/>
    <col min="1557" max="1558" width="1.6640625" style="43" customWidth="1"/>
    <col min="1559" max="1792" width="11.44140625" style="43"/>
    <col min="1793" max="1793" width="14.88671875" style="43" customWidth="1"/>
    <col min="1794" max="1796" width="8.6640625" style="43" customWidth="1"/>
    <col min="1797" max="1800" width="8.44140625" style="43" customWidth="1"/>
    <col min="1801" max="1802" width="8.6640625" style="43" customWidth="1"/>
    <col min="1803" max="1803" width="8.88671875" style="43" customWidth="1"/>
    <col min="1804" max="1804" width="8.44140625" style="43" customWidth="1"/>
    <col min="1805" max="1805" width="9.44140625" style="43" customWidth="1"/>
    <col min="1806" max="1806" width="3.109375" style="43" customWidth="1"/>
    <col min="1807" max="1808" width="11.44140625" style="43"/>
    <col min="1809" max="1812" width="0" style="43" hidden="1" customWidth="1"/>
    <col min="1813" max="1814" width="1.6640625" style="43" customWidth="1"/>
    <col min="1815" max="2048" width="11.44140625" style="43"/>
    <col min="2049" max="2049" width="14.88671875" style="43" customWidth="1"/>
    <col min="2050" max="2052" width="8.6640625" style="43" customWidth="1"/>
    <col min="2053" max="2056" width="8.44140625" style="43" customWidth="1"/>
    <col min="2057" max="2058" width="8.6640625" style="43" customWidth="1"/>
    <col min="2059" max="2059" width="8.88671875" style="43" customWidth="1"/>
    <col min="2060" max="2060" width="8.44140625" style="43" customWidth="1"/>
    <col min="2061" max="2061" width="9.44140625" style="43" customWidth="1"/>
    <col min="2062" max="2062" width="3.109375" style="43" customWidth="1"/>
    <col min="2063" max="2064" width="11.44140625" style="43"/>
    <col min="2065" max="2068" width="0" style="43" hidden="1" customWidth="1"/>
    <col min="2069" max="2070" width="1.6640625" style="43" customWidth="1"/>
    <col min="2071" max="2304" width="11.44140625" style="43"/>
    <col min="2305" max="2305" width="14.88671875" style="43" customWidth="1"/>
    <col min="2306" max="2308" width="8.6640625" style="43" customWidth="1"/>
    <col min="2309" max="2312" width="8.44140625" style="43" customWidth="1"/>
    <col min="2313" max="2314" width="8.6640625" style="43" customWidth="1"/>
    <col min="2315" max="2315" width="8.88671875" style="43" customWidth="1"/>
    <col min="2316" max="2316" width="8.44140625" style="43" customWidth="1"/>
    <col min="2317" max="2317" width="9.44140625" style="43" customWidth="1"/>
    <col min="2318" max="2318" width="3.109375" style="43" customWidth="1"/>
    <col min="2319" max="2320" width="11.44140625" style="43"/>
    <col min="2321" max="2324" width="0" style="43" hidden="1" customWidth="1"/>
    <col min="2325" max="2326" width="1.6640625" style="43" customWidth="1"/>
    <col min="2327" max="2560" width="11.44140625" style="43"/>
    <col min="2561" max="2561" width="14.88671875" style="43" customWidth="1"/>
    <col min="2562" max="2564" width="8.6640625" style="43" customWidth="1"/>
    <col min="2565" max="2568" width="8.44140625" style="43" customWidth="1"/>
    <col min="2569" max="2570" width="8.6640625" style="43" customWidth="1"/>
    <col min="2571" max="2571" width="8.88671875" style="43" customWidth="1"/>
    <col min="2572" max="2572" width="8.44140625" style="43" customWidth="1"/>
    <col min="2573" max="2573" width="9.44140625" style="43" customWidth="1"/>
    <col min="2574" max="2574" width="3.109375" style="43" customWidth="1"/>
    <col min="2575" max="2576" width="11.44140625" style="43"/>
    <col min="2577" max="2580" width="0" style="43" hidden="1" customWidth="1"/>
    <col min="2581" max="2582" width="1.6640625" style="43" customWidth="1"/>
    <col min="2583" max="2816" width="11.44140625" style="43"/>
    <col min="2817" max="2817" width="14.88671875" style="43" customWidth="1"/>
    <col min="2818" max="2820" width="8.6640625" style="43" customWidth="1"/>
    <col min="2821" max="2824" width="8.44140625" style="43" customWidth="1"/>
    <col min="2825" max="2826" width="8.6640625" style="43" customWidth="1"/>
    <col min="2827" max="2827" width="8.88671875" style="43" customWidth="1"/>
    <col min="2828" max="2828" width="8.44140625" style="43" customWidth="1"/>
    <col min="2829" max="2829" width="9.44140625" style="43" customWidth="1"/>
    <col min="2830" max="2830" width="3.109375" style="43" customWidth="1"/>
    <col min="2831" max="2832" width="11.44140625" style="43"/>
    <col min="2833" max="2836" width="0" style="43" hidden="1" customWidth="1"/>
    <col min="2837" max="2838" width="1.6640625" style="43" customWidth="1"/>
    <col min="2839" max="3072" width="11.44140625" style="43"/>
    <col min="3073" max="3073" width="14.88671875" style="43" customWidth="1"/>
    <col min="3074" max="3076" width="8.6640625" style="43" customWidth="1"/>
    <col min="3077" max="3080" width="8.44140625" style="43" customWidth="1"/>
    <col min="3081" max="3082" width="8.6640625" style="43" customWidth="1"/>
    <col min="3083" max="3083" width="8.88671875" style="43" customWidth="1"/>
    <col min="3084" max="3084" width="8.44140625" style="43" customWidth="1"/>
    <col min="3085" max="3085" width="9.44140625" style="43" customWidth="1"/>
    <col min="3086" max="3086" width="3.109375" style="43" customWidth="1"/>
    <col min="3087" max="3088" width="11.44140625" style="43"/>
    <col min="3089" max="3092" width="0" style="43" hidden="1" customWidth="1"/>
    <col min="3093" max="3094" width="1.6640625" style="43" customWidth="1"/>
    <col min="3095" max="3328" width="11.44140625" style="43"/>
    <col min="3329" max="3329" width="14.88671875" style="43" customWidth="1"/>
    <col min="3330" max="3332" width="8.6640625" style="43" customWidth="1"/>
    <col min="3333" max="3336" width="8.44140625" style="43" customWidth="1"/>
    <col min="3337" max="3338" width="8.6640625" style="43" customWidth="1"/>
    <col min="3339" max="3339" width="8.88671875" style="43" customWidth="1"/>
    <col min="3340" max="3340" width="8.44140625" style="43" customWidth="1"/>
    <col min="3341" max="3341" width="9.44140625" style="43" customWidth="1"/>
    <col min="3342" max="3342" width="3.109375" style="43" customWidth="1"/>
    <col min="3343" max="3344" width="11.44140625" style="43"/>
    <col min="3345" max="3348" width="0" style="43" hidden="1" customWidth="1"/>
    <col min="3349" max="3350" width="1.6640625" style="43" customWidth="1"/>
    <col min="3351" max="3584" width="11.44140625" style="43"/>
    <col min="3585" max="3585" width="14.88671875" style="43" customWidth="1"/>
    <col min="3586" max="3588" width="8.6640625" style="43" customWidth="1"/>
    <col min="3589" max="3592" width="8.44140625" style="43" customWidth="1"/>
    <col min="3593" max="3594" width="8.6640625" style="43" customWidth="1"/>
    <col min="3595" max="3595" width="8.88671875" style="43" customWidth="1"/>
    <col min="3596" max="3596" width="8.44140625" style="43" customWidth="1"/>
    <col min="3597" max="3597" width="9.44140625" style="43" customWidth="1"/>
    <col min="3598" max="3598" width="3.109375" style="43" customWidth="1"/>
    <col min="3599" max="3600" width="11.44140625" style="43"/>
    <col min="3601" max="3604" width="0" style="43" hidden="1" customWidth="1"/>
    <col min="3605" max="3606" width="1.6640625" style="43" customWidth="1"/>
    <col min="3607" max="3840" width="11.44140625" style="43"/>
    <col min="3841" max="3841" width="14.88671875" style="43" customWidth="1"/>
    <col min="3842" max="3844" width="8.6640625" style="43" customWidth="1"/>
    <col min="3845" max="3848" width="8.44140625" style="43" customWidth="1"/>
    <col min="3849" max="3850" width="8.6640625" style="43" customWidth="1"/>
    <col min="3851" max="3851" width="8.88671875" style="43" customWidth="1"/>
    <col min="3852" max="3852" width="8.44140625" style="43" customWidth="1"/>
    <col min="3853" max="3853" width="9.44140625" style="43" customWidth="1"/>
    <col min="3854" max="3854" width="3.109375" style="43" customWidth="1"/>
    <col min="3855" max="3856" width="11.44140625" style="43"/>
    <col min="3857" max="3860" width="0" style="43" hidden="1" customWidth="1"/>
    <col min="3861" max="3862" width="1.6640625" style="43" customWidth="1"/>
    <col min="3863" max="4096" width="11.44140625" style="43"/>
    <col min="4097" max="4097" width="14.88671875" style="43" customWidth="1"/>
    <col min="4098" max="4100" width="8.6640625" style="43" customWidth="1"/>
    <col min="4101" max="4104" width="8.44140625" style="43" customWidth="1"/>
    <col min="4105" max="4106" width="8.6640625" style="43" customWidth="1"/>
    <col min="4107" max="4107" width="8.88671875" style="43" customWidth="1"/>
    <col min="4108" max="4108" width="8.44140625" style="43" customWidth="1"/>
    <col min="4109" max="4109" width="9.44140625" style="43" customWidth="1"/>
    <col min="4110" max="4110" width="3.109375" style="43" customWidth="1"/>
    <col min="4111" max="4112" width="11.44140625" style="43"/>
    <col min="4113" max="4116" width="0" style="43" hidden="1" customWidth="1"/>
    <col min="4117" max="4118" width="1.6640625" style="43" customWidth="1"/>
    <col min="4119" max="4352" width="11.44140625" style="43"/>
    <col min="4353" max="4353" width="14.88671875" style="43" customWidth="1"/>
    <col min="4354" max="4356" width="8.6640625" style="43" customWidth="1"/>
    <col min="4357" max="4360" width="8.44140625" style="43" customWidth="1"/>
    <col min="4361" max="4362" width="8.6640625" style="43" customWidth="1"/>
    <col min="4363" max="4363" width="8.88671875" style="43" customWidth="1"/>
    <col min="4364" max="4364" width="8.44140625" style="43" customWidth="1"/>
    <col min="4365" max="4365" width="9.44140625" style="43" customWidth="1"/>
    <col min="4366" max="4366" width="3.109375" style="43" customWidth="1"/>
    <col min="4367" max="4368" width="11.44140625" style="43"/>
    <col min="4369" max="4372" width="0" style="43" hidden="1" customWidth="1"/>
    <col min="4373" max="4374" width="1.6640625" style="43" customWidth="1"/>
    <col min="4375" max="4608" width="11.44140625" style="43"/>
    <col min="4609" max="4609" width="14.88671875" style="43" customWidth="1"/>
    <col min="4610" max="4612" width="8.6640625" style="43" customWidth="1"/>
    <col min="4613" max="4616" width="8.44140625" style="43" customWidth="1"/>
    <col min="4617" max="4618" width="8.6640625" style="43" customWidth="1"/>
    <col min="4619" max="4619" width="8.88671875" style="43" customWidth="1"/>
    <col min="4620" max="4620" width="8.44140625" style="43" customWidth="1"/>
    <col min="4621" max="4621" width="9.44140625" style="43" customWidth="1"/>
    <col min="4622" max="4622" width="3.109375" style="43" customWidth="1"/>
    <col min="4623" max="4624" width="11.44140625" style="43"/>
    <col min="4625" max="4628" width="0" style="43" hidden="1" customWidth="1"/>
    <col min="4629" max="4630" width="1.6640625" style="43" customWidth="1"/>
    <col min="4631" max="4864" width="11.44140625" style="43"/>
    <col min="4865" max="4865" width="14.88671875" style="43" customWidth="1"/>
    <col min="4866" max="4868" width="8.6640625" style="43" customWidth="1"/>
    <col min="4869" max="4872" width="8.44140625" style="43" customWidth="1"/>
    <col min="4873" max="4874" width="8.6640625" style="43" customWidth="1"/>
    <col min="4875" max="4875" width="8.88671875" style="43" customWidth="1"/>
    <col min="4876" max="4876" width="8.44140625" style="43" customWidth="1"/>
    <col min="4877" max="4877" width="9.44140625" style="43" customWidth="1"/>
    <col min="4878" max="4878" width="3.109375" style="43" customWidth="1"/>
    <col min="4879" max="4880" width="11.44140625" style="43"/>
    <col min="4881" max="4884" width="0" style="43" hidden="1" customWidth="1"/>
    <col min="4885" max="4886" width="1.6640625" style="43" customWidth="1"/>
    <col min="4887" max="5120" width="11.44140625" style="43"/>
    <col min="5121" max="5121" width="14.88671875" style="43" customWidth="1"/>
    <col min="5122" max="5124" width="8.6640625" style="43" customWidth="1"/>
    <col min="5125" max="5128" width="8.44140625" style="43" customWidth="1"/>
    <col min="5129" max="5130" width="8.6640625" style="43" customWidth="1"/>
    <col min="5131" max="5131" width="8.88671875" style="43" customWidth="1"/>
    <col min="5132" max="5132" width="8.44140625" style="43" customWidth="1"/>
    <col min="5133" max="5133" width="9.44140625" style="43" customWidth="1"/>
    <col min="5134" max="5134" width="3.109375" style="43" customWidth="1"/>
    <col min="5135" max="5136" width="11.44140625" style="43"/>
    <col min="5137" max="5140" width="0" style="43" hidden="1" customWidth="1"/>
    <col min="5141" max="5142" width="1.6640625" style="43" customWidth="1"/>
    <col min="5143" max="5376" width="11.44140625" style="43"/>
    <col min="5377" max="5377" width="14.88671875" style="43" customWidth="1"/>
    <col min="5378" max="5380" width="8.6640625" style="43" customWidth="1"/>
    <col min="5381" max="5384" width="8.44140625" style="43" customWidth="1"/>
    <col min="5385" max="5386" width="8.6640625" style="43" customWidth="1"/>
    <col min="5387" max="5387" width="8.88671875" style="43" customWidth="1"/>
    <col min="5388" max="5388" width="8.44140625" style="43" customWidth="1"/>
    <col min="5389" max="5389" width="9.44140625" style="43" customWidth="1"/>
    <col min="5390" max="5390" width="3.109375" style="43" customWidth="1"/>
    <col min="5391" max="5392" width="11.44140625" style="43"/>
    <col min="5393" max="5396" width="0" style="43" hidden="1" customWidth="1"/>
    <col min="5397" max="5398" width="1.6640625" style="43" customWidth="1"/>
    <col min="5399" max="5632" width="11.44140625" style="43"/>
    <col min="5633" max="5633" width="14.88671875" style="43" customWidth="1"/>
    <col min="5634" max="5636" width="8.6640625" style="43" customWidth="1"/>
    <col min="5637" max="5640" width="8.44140625" style="43" customWidth="1"/>
    <col min="5641" max="5642" width="8.6640625" style="43" customWidth="1"/>
    <col min="5643" max="5643" width="8.88671875" style="43" customWidth="1"/>
    <col min="5644" max="5644" width="8.44140625" style="43" customWidth="1"/>
    <col min="5645" max="5645" width="9.44140625" style="43" customWidth="1"/>
    <col min="5646" max="5646" width="3.109375" style="43" customWidth="1"/>
    <col min="5647" max="5648" width="11.44140625" style="43"/>
    <col min="5649" max="5652" width="0" style="43" hidden="1" customWidth="1"/>
    <col min="5653" max="5654" width="1.6640625" style="43" customWidth="1"/>
    <col min="5655" max="5888" width="11.44140625" style="43"/>
    <col min="5889" max="5889" width="14.88671875" style="43" customWidth="1"/>
    <col min="5890" max="5892" width="8.6640625" style="43" customWidth="1"/>
    <col min="5893" max="5896" width="8.44140625" style="43" customWidth="1"/>
    <col min="5897" max="5898" width="8.6640625" style="43" customWidth="1"/>
    <col min="5899" max="5899" width="8.88671875" style="43" customWidth="1"/>
    <col min="5900" max="5900" width="8.44140625" style="43" customWidth="1"/>
    <col min="5901" max="5901" width="9.44140625" style="43" customWidth="1"/>
    <col min="5902" max="5902" width="3.109375" style="43" customWidth="1"/>
    <col min="5903" max="5904" width="11.44140625" style="43"/>
    <col min="5905" max="5908" width="0" style="43" hidden="1" customWidth="1"/>
    <col min="5909" max="5910" width="1.6640625" style="43" customWidth="1"/>
    <col min="5911" max="6144" width="11.44140625" style="43"/>
    <col min="6145" max="6145" width="14.88671875" style="43" customWidth="1"/>
    <col min="6146" max="6148" width="8.6640625" style="43" customWidth="1"/>
    <col min="6149" max="6152" width="8.44140625" style="43" customWidth="1"/>
    <col min="6153" max="6154" width="8.6640625" style="43" customWidth="1"/>
    <col min="6155" max="6155" width="8.88671875" style="43" customWidth="1"/>
    <col min="6156" max="6156" width="8.44140625" style="43" customWidth="1"/>
    <col min="6157" max="6157" width="9.44140625" style="43" customWidth="1"/>
    <col min="6158" max="6158" width="3.109375" style="43" customWidth="1"/>
    <col min="6159" max="6160" width="11.44140625" style="43"/>
    <col min="6161" max="6164" width="0" style="43" hidden="1" customWidth="1"/>
    <col min="6165" max="6166" width="1.6640625" style="43" customWidth="1"/>
    <col min="6167" max="6400" width="11.44140625" style="43"/>
    <col min="6401" max="6401" width="14.88671875" style="43" customWidth="1"/>
    <col min="6402" max="6404" width="8.6640625" style="43" customWidth="1"/>
    <col min="6405" max="6408" width="8.44140625" style="43" customWidth="1"/>
    <col min="6409" max="6410" width="8.6640625" style="43" customWidth="1"/>
    <col min="6411" max="6411" width="8.88671875" style="43" customWidth="1"/>
    <col min="6412" max="6412" width="8.44140625" style="43" customWidth="1"/>
    <col min="6413" max="6413" width="9.44140625" style="43" customWidth="1"/>
    <col min="6414" max="6414" width="3.109375" style="43" customWidth="1"/>
    <col min="6415" max="6416" width="11.44140625" style="43"/>
    <col min="6417" max="6420" width="0" style="43" hidden="1" customWidth="1"/>
    <col min="6421" max="6422" width="1.6640625" style="43" customWidth="1"/>
    <col min="6423" max="6656" width="11.44140625" style="43"/>
    <col min="6657" max="6657" width="14.88671875" style="43" customWidth="1"/>
    <col min="6658" max="6660" width="8.6640625" style="43" customWidth="1"/>
    <col min="6661" max="6664" width="8.44140625" style="43" customWidth="1"/>
    <col min="6665" max="6666" width="8.6640625" style="43" customWidth="1"/>
    <col min="6667" max="6667" width="8.88671875" style="43" customWidth="1"/>
    <col min="6668" max="6668" width="8.44140625" style="43" customWidth="1"/>
    <col min="6669" max="6669" width="9.44140625" style="43" customWidth="1"/>
    <col min="6670" max="6670" width="3.109375" style="43" customWidth="1"/>
    <col min="6671" max="6672" width="11.44140625" style="43"/>
    <col min="6673" max="6676" width="0" style="43" hidden="1" customWidth="1"/>
    <col min="6677" max="6678" width="1.6640625" style="43" customWidth="1"/>
    <col min="6679" max="6912" width="11.44140625" style="43"/>
    <col min="6913" max="6913" width="14.88671875" style="43" customWidth="1"/>
    <col min="6914" max="6916" width="8.6640625" style="43" customWidth="1"/>
    <col min="6917" max="6920" width="8.44140625" style="43" customWidth="1"/>
    <col min="6921" max="6922" width="8.6640625" style="43" customWidth="1"/>
    <col min="6923" max="6923" width="8.88671875" style="43" customWidth="1"/>
    <col min="6924" max="6924" width="8.44140625" style="43" customWidth="1"/>
    <col min="6925" max="6925" width="9.44140625" style="43" customWidth="1"/>
    <col min="6926" max="6926" width="3.109375" style="43" customWidth="1"/>
    <col min="6927" max="6928" width="11.44140625" style="43"/>
    <col min="6929" max="6932" width="0" style="43" hidden="1" customWidth="1"/>
    <col min="6933" max="6934" width="1.6640625" style="43" customWidth="1"/>
    <col min="6935" max="7168" width="11.44140625" style="43"/>
    <col min="7169" max="7169" width="14.88671875" style="43" customWidth="1"/>
    <col min="7170" max="7172" width="8.6640625" style="43" customWidth="1"/>
    <col min="7173" max="7176" width="8.44140625" style="43" customWidth="1"/>
    <col min="7177" max="7178" width="8.6640625" style="43" customWidth="1"/>
    <col min="7179" max="7179" width="8.88671875" style="43" customWidth="1"/>
    <col min="7180" max="7180" width="8.44140625" style="43" customWidth="1"/>
    <col min="7181" max="7181" width="9.44140625" style="43" customWidth="1"/>
    <col min="7182" max="7182" width="3.109375" style="43" customWidth="1"/>
    <col min="7183" max="7184" width="11.44140625" style="43"/>
    <col min="7185" max="7188" width="0" style="43" hidden="1" customWidth="1"/>
    <col min="7189" max="7190" width="1.6640625" style="43" customWidth="1"/>
    <col min="7191" max="7424" width="11.44140625" style="43"/>
    <col min="7425" max="7425" width="14.88671875" style="43" customWidth="1"/>
    <col min="7426" max="7428" width="8.6640625" style="43" customWidth="1"/>
    <col min="7429" max="7432" width="8.44140625" style="43" customWidth="1"/>
    <col min="7433" max="7434" width="8.6640625" style="43" customWidth="1"/>
    <col min="7435" max="7435" width="8.88671875" style="43" customWidth="1"/>
    <col min="7436" max="7436" width="8.44140625" style="43" customWidth="1"/>
    <col min="7437" max="7437" width="9.44140625" style="43" customWidth="1"/>
    <col min="7438" max="7438" width="3.109375" style="43" customWidth="1"/>
    <col min="7439" max="7440" width="11.44140625" style="43"/>
    <col min="7441" max="7444" width="0" style="43" hidden="1" customWidth="1"/>
    <col min="7445" max="7446" width="1.6640625" style="43" customWidth="1"/>
    <col min="7447" max="7680" width="11.44140625" style="43"/>
    <col min="7681" max="7681" width="14.88671875" style="43" customWidth="1"/>
    <col min="7682" max="7684" width="8.6640625" style="43" customWidth="1"/>
    <col min="7685" max="7688" width="8.44140625" style="43" customWidth="1"/>
    <col min="7689" max="7690" width="8.6640625" style="43" customWidth="1"/>
    <col min="7691" max="7691" width="8.88671875" style="43" customWidth="1"/>
    <col min="7692" max="7692" width="8.44140625" style="43" customWidth="1"/>
    <col min="7693" max="7693" width="9.44140625" style="43" customWidth="1"/>
    <col min="7694" max="7694" width="3.109375" style="43" customWidth="1"/>
    <col min="7695" max="7696" width="11.44140625" style="43"/>
    <col min="7697" max="7700" width="0" style="43" hidden="1" customWidth="1"/>
    <col min="7701" max="7702" width="1.6640625" style="43" customWidth="1"/>
    <col min="7703" max="7936" width="11.44140625" style="43"/>
    <col min="7937" max="7937" width="14.88671875" style="43" customWidth="1"/>
    <col min="7938" max="7940" width="8.6640625" style="43" customWidth="1"/>
    <col min="7941" max="7944" width="8.44140625" style="43" customWidth="1"/>
    <col min="7945" max="7946" width="8.6640625" style="43" customWidth="1"/>
    <col min="7947" max="7947" width="8.88671875" style="43" customWidth="1"/>
    <col min="7948" max="7948" width="8.44140625" style="43" customWidth="1"/>
    <col min="7949" max="7949" width="9.44140625" style="43" customWidth="1"/>
    <col min="7950" max="7950" width="3.109375" style="43" customWidth="1"/>
    <col min="7951" max="7952" width="11.44140625" style="43"/>
    <col min="7953" max="7956" width="0" style="43" hidden="1" customWidth="1"/>
    <col min="7957" max="7958" width="1.6640625" style="43" customWidth="1"/>
    <col min="7959" max="8192" width="11.44140625" style="43"/>
    <col min="8193" max="8193" width="14.88671875" style="43" customWidth="1"/>
    <col min="8194" max="8196" width="8.6640625" style="43" customWidth="1"/>
    <col min="8197" max="8200" width="8.44140625" style="43" customWidth="1"/>
    <col min="8201" max="8202" width="8.6640625" style="43" customWidth="1"/>
    <col min="8203" max="8203" width="8.88671875" style="43" customWidth="1"/>
    <col min="8204" max="8204" width="8.44140625" style="43" customWidth="1"/>
    <col min="8205" max="8205" width="9.44140625" style="43" customWidth="1"/>
    <col min="8206" max="8206" width="3.109375" style="43" customWidth="1"/>
    <col min="8207" max="8208" width="11.44140625" style="43"/>
    <col min="8209" max="8212" width="0" style="43" hidden="1" customWidth="1"/>
    <col min="8213" max="8214" width="1.6640625" style="43" customWidth="1"/>
    <col min="8215" max="8448" width="11.44140625" style="43"/>
    <col min="8449" max="8449" width="14.88671875" style="43" customWidth="1"/>
    <col min="8450" max="8452" width="8.6640625" style="43" customWidth="1"/>
    <col min="8453" max="8456" width="8.44140625" style="43" customWidth="1"/>
    <col min="8457" max="8458" width="8.6640625" style="43" customWidth="1"/>
    <col min="8459" max="8459" width="8.88671875" style="43" customWidth="1"/>
    <col min="8460" max="8460" width="8.44140625" style="43" customWidth="1"/>
    <col min="8461" max="8461" width="9.44140625" style="43" customWidth="1"/>
    <col min="8462" max="8462" width="3.109375" style="43" customWidth="1"/>
    <col min="8463" max="8464" width="11.44140625" style="43"/>
    <col min="8465" max="8468" width="0" style="43" hidden="1" customWidth="1"/>
    <col min="8469" max="8470" width="1.6640625" style="43" customWidth="1"/>
    <col min="8471" max="8704" width="11.44140625" style="43"/>
    <col min="8705" max="8705" width="14.88671875" style="43" customWidth="1"/>
    <col min="8706" max="8708" width="8.6640625" style="43" customWidth="1"/>
    <col min="8709" max="8712" width="8.44140625" style="43" customWidth="1"/>
    <col min="8713" max="8714" width="8.6640625" style="43" customWidth="1"/>
    <col min="8715" max="8715" width="8.88671875" style="43" customWidth="1"/>
    <col min="8716" max="8716" width="8.44140625" style="43" customWidth="1"/>
    <col min="8717" max="8717" width="9.44140625" style="43" customWidth="1"/>
    <col min="8718" max="8718" width="3.109375" style="43" customWidth="1"/>
    <col min="8719" max="8720" width="11.44140625" style="43"/>
    <col min="8721" max="8724" width="0" style="43" hidden="1" customWidth="1"/>
    <col min="8725" max="8726" width="1.6640625" style="43" customWidth="1"/>
    <col min="8727" max="8960" width="11.44140625" style="43"/>
    <col min="8961" max="8961" width="14.88671875" style="43" customWidth="1"/>
    <col min="8962" max="8964" width="8.6640625" style="43" customWidth="1"/>
    <col min="8965" max="8968" width="8.44140625" style="43" customWidth="1"/>
    <col min="8969" max="8970" width="8.6640625" style="43" customWidth="1"/>
    <col min="8971" max="8971" width="8.88671875" style="43" customWidth="1"/>
    <col min="8972" max="8972" width="8.44140625" style="43" customWidth="1"/>
    <col min="8973" max="8973" width="9.44140625" style="43" customWidth="1"/>
    <col min="8974" max="8974" width="3.109375" style="43" customWidth="1"/>
    <col min="8975" max="8976" width="11.44140625" style="43"/>
    <col min="8977" max="8980" width="0" style="43" hidden="1" customWidth="1"/>
    <col min="8981" max="8982" width="1.6640625" style="43" customWidth="1"/>
    <col min="8983" max="9216" width="11.44140625" style="43"/>
    <col min="9217" max="9217" width="14.88671875" style="43" customWidth="1"/>
    <col min="9218" max="9220" width="8.6640625" style="43" customWidth="1"/>
    <col min="9221" max="9224" width="8.44140625" style="43" customWidth="1"/>
    <col min="9225" max="9226" width="8.6640625" style="43" customWidth="1"/>
    <col min="9227" max="9227" width="8.88671875" style="43" customWidth="1"/>
    <col min="9228" max="9228" width="8.44140625" style="43" customWidth="1"/>
    <col min="9229" max="9229" width="9.44140625" style="43" customWidth="1"/>
    <col min="9230" max="9230" width="3.109375" style="43" customWidth="1"/>
    <col min="9231" max="9232" width="11.44140625" style="43"/>
    <col min="9233" max="9236" width="0" style="43" hidden="1" customWidth="1"/>
    <col min="9237" max="9238" width="1.6640625" style="43" customWidth="1"/>
    <col min="9239" max="9472" width="11.44140625" style="43"/>
    <col min="9473" max="9473" width="14.88671875" style="43" customWidth="1"/>
    <col min="9474" max="9476" width="8.6640625" style="43" customWidth="1"/>
    <col min="9477" max="9480" width="8.44140625" style="43" customWidth="1"/>
    <col min="9481" max="9482" width="8.6640625" style="43" customWidth="1"/>
    <col min="9483" max="9483" width="8.88671875" style="43" customWidth="1"/>
    <col min="9484" max="9484" width="8.44140625" style="43" customWidth="1"/>
    <col min="9485" max="9485" width="9.44140625" style="43" customWidth="1"/>
    <col min="9486" max="9486" width="3.109375" style="43" customWidth="1"/>
    <col min="9487" max="9488" width="11.44140625" style="43"/>
    <col min="9489" max="9492" width="0" style="43" hidden="1" customWidth="1"/>
    <col min="9493" max="9494" width="1.6640625" style="43" customWidth="1"/>
    <col min="9495" max="9728" width="11.44140625" style="43"/>
    <col min="9729" max="9729" width="14.88671875" style="43" customWidth="1"/>
    <col min="9730" max="9732" width="8.6640625" style="43" customWidth="1"/>
    <col min="9733" max="9736" width="8.44140625" style="43" customWidth="1"/>
    <col min="9737" max="9738" width="8.6640625" style="43" customWidth="1"/>
    <col min="9739" max="9739" width="8.88671875" style="43" customWidth="1"/>
    <col min="9740" max="9740" width="8.44140625" style="43" customWidth="1"/>
    <col min="9741" max="9741" width="9.44140625" style="43" customWidth="1"/>
    <col min="9742" max="9742" width="3.109375" style="43" customWidth="1"/>
    <col min="9743" max="9744" width="11.44140625" style="43"/>
    <col min="9745" max="9748" width="0" style="43" hidden="1" customWidth="1"/>
    <col min="9749" max="9750" width="1.6640625" style="43" customWidth="1"/>
    <col min="9751" max="9984" width="11.44140625" style="43"/>
    <col min="9985" max="9985" width="14.88671875" style="43" customWidth="1"/>
    <col min="9986" max="9988" width="8.6640625" style="43" customWidth="1"/>
    <col min="9989" max="9992" width="8.44140625" style="43" customWidth="1"/>
    <col min="9993" max="9994" width="8.6640625" style="43" customWidth="1"/>
    <col min="9995" max="9995" width="8.88671875" style="43" customWidth="1"/>
    <col min="9996" max="9996" width="8.44140625" style="43" customWidth="1"/>
    <col min="9997" max="9997" width="9.44140625" style="43" customWidth="1"/>
    <col min="9998" max="9998" width="3.109375" style="43" customWidth="1"/>
    <col min="9999" max="10000" width="11.44140625" style="43"/>
    <col min="10001" max="10004" width="0" style="43" hidden="1" customWidth="1"/>
    <col min="10005" max="10006" width="1.6640625" style="43" customWidth="1"/>
    <col min="10007" max="10240" width="11.44140625" style="43"/>
    <col min="10241" max="10241" width="14.88671875" style="43" customWidth="1"/>
    <col min="10242" max="10244" width="8.6640625" style="43" customWidth="1"/>
    <col min="10245" max="10248" width="8.44140625" style="43" customWidth="1"/>
    <col min="10249" max="10250" width="8.6640625" style="43" customWidth="1"/>
    <col min="10251" max="10251" width="8.88671875" style="43" customWidth="1"/>
    <col min="10252" max="10252" width="8.44140625" style="43" customWidth="1"/>
    <col min="10253" max="10253" width="9.44140625" style="43" customWidth="1"/>
    <col min="10254" max="10254" width="3.109375" style="43" customWidth="1"/>
    <col min="10255" max="10256" width="11.44140625" style="43"/>
    <col min="10257" max="10260" width="0" style="43" hidden="1" customWidth="1"/>
    <col min="10261" max="10262" width="1.6640625" style="43" customWidth="1"/>
    <col min="10263" max="10496" width="11.44140625" style="43"/>
    <col min="10497" max="10497" width="14.88671875" style="43" customWidth="1"/>
    <col min="10498" max="10500" width="8.6640625" style="43" customWidth="1"/>
    <col min="10501" max="10504" width="8.44140625" style="43" customWidth="1"/>
    <col min="10505" max="10506" width="8.6640625" style="43" customWidth="1"/>
    <col min="10507" max="10507" width="8.88671875" style="43" customWidth="1"/>
    <col min="10508" max="10508" width="8.44140625" style="43" customWidth="1"/>
    <col min="10509" max="10509" width="9.44140625" style="43" customWidth="1"/>
    <col min="10510" max="10510" width="3.109375" style="43" customWidth="1"/>
    <col min="10511" max="10512" width="11.44140625" style="43"/>
    <col min="10513" max="10516" width="0" style="43" hidden="1" customWidth="1"/>
    <col min="10517" max="10518" width="1.6640625" style="43" customWidth="1"/>
    <col min="10519" max="10752" width="11.44140625" style="43"/>
    <col min="10753" max="10753" width="14.88671875" style="43" customWidth="1"/>
    <col min="10754" max="10756" width="8.6640625" style="43" customWidth="1"/>
    <col min="10757" max="10760" width="8.44140625" style="43" customWidth="1"/>
    <col min="10761" max="10762" width="8.6640625" style="43" customWidth="1"/>
    <col min="10763" max="10763" width="8.88671875" style="43" customWidth="1"/>
    <col min="10764" max="10764" width="8.44140625" style="43" customWidth="1"/>
    <col min="10765" max="10765" width="9.44140625" style="43" customWidth="1"/>
    <col min="10766" max="10766" width="3.109375" style="43" customWidth="1"/>
    <col min="10767" max="10768" width="11.44140625" style="43"/>
    <col min="10769" max="10772" width="0" style="43" hidden="1" customWidth="1"/>
    <col min="10773" max="10774" width="1.6640625" style="43" customWidth="1"/>
    <col min="10775" max="11008" width="11.44140625" style="43"/>
    <col min="11009" max="11009" width="14.88671875" style="43" customWidth="1"/>
    <col min="11010" max="11012" width="8.6640625" style="43" customWidth="1"/>
    <col min="11013" max="11016" width="8.44140625" style="43" customWidth="1"/>
    <col min="11017" max="11018" width="8.6640625" style="43" customWidth="1"/>
    <col min="11019" max="11019" width="8.88671875" style="43" customWidth="1"/>
    <col min="11020" max="11020" width="8.44140625" style="43" customWidth="1"/>
    <col min="11021" max="11021" width="9.44140625" style="43" customWidth="1"/>
    <col min="11022" max="11022" width="3.109375" style="43" customWidth="1"/>
    <col min="11023" max="11024" width="11.44140625" style="43"/>
    <col min="11025" max="11028" width="0" style="43" hidden="1" customWidth="1"/>
    <col min="11029" max="11030" width="1.6640625" style="43" customWidth="1"/>
    <col min="11031" max="11264" width="11.44140625" style="43"/>
    <col min="11265" max="11265" width="14.88671875" style="43" customWidth="1"/>
    <col min="11266" max="11268" width="8.6640625" style="43" customWidth="1"/>
    <col min="11269" max="11272" width="8.44140625" style="43" customWidth="1"/>
    <col min="11273" max="11274" width="8.6640625" style="43" customWidth="1"/>
    <col min="11275" max="11275" width="8.88671875" style="43" customWidth="1"/>
    <col min="11276" max="11276" width="8.44140625" style="43" customWidth="1"/>
    <col min="11277" max="11277" width="9.44140625" style="43" customWidth="1"/>
    <col min="11278" max="11278" width="3.109375" style="43" customWidth="1"/>
    <col min="11279" max="11280" width="11.44140625" style="43"/>
    <col min="11281" max="11284" width="0" style="43" hidden="1" customWidth="1"/>
    <col min="11285" max="11286" width="1.6640625" style="43" customWidth="1"/>
    <col min="11287" max="11520" width="11.44140625" style="43"/>
    <col min="11521" max="11521" width="14.88671875" style="43" customWidth="1"/>
    <col min="11522" max="11524" width="8.6640625" style="43" customWidth="1"/>
    <col min="11525" max="11528" width="8.44140625" style="43" customWidth="1"/>
    <col min="11529" max="11530" width="8.6640625" style="43" customWidth="1"/>
    <col min="11531" max="11531" width="8.88671875" style="43" customWidth="1"/>
    <col min="11532" max="11532" width="8.44140625" style="43" customWidth="1"/>
    <col min="11533" max="11533" width="9.44140625" style="43" customWidth="1"/>
    <col min="11534" max="11534" width="3.109375" style="43" customWidth="1"/>
    <col min="11535" max="11536" width="11.44140625" style="43"/>
    <col min="11537" max="11540" width="0" style="43" hidden="1" customWidth="1"/>
    <col min="11541" max="11542" width="1.6640625" style="43" customWidth="1"/>
    <col min="11543" max="11776" width="11.44140625" style="43"/>
    <col min="11777" max="11777" width="14.88671875" style="43" customWidth="1"/>
    <col min="11778" max="11780" width="8.6640625" style="43" customWidth="1"/>
    <col min="11781" max="11784" width="8.44140625" style="43" customWidth="1"/>
    <col min="11785" max="11786" width="8.6640625" style="43" customWidth="1"/>
    <col min="11787" max="11787" width="8.88671875" style="43" customWidth="1"/>
    <col min="11788" max="11788" width="8.44140625" style="43" customWidth="1"/>
    <col min="11789" max="11789" width="9.44140625" style="43" customWidth="1"/>
    <col min="11790" max="11790" width="3.109375" style="43" customWidth="1"/>
    <col min="11791" max="11792" width="11.44140625" style="43"/>
    <col min="11793" max="11796" width="0" style="43" hidden="1" customWidth="1"/>
    <col min="11797" max="11798" width="1.6640625" style="43" customWidth="1"/>
    <col min="11799" max="12032" width="11.44140625" style="43"/>
    <col min="12033" max="12033" width="14.88671875" style="43" customWidth="1"/>
    <col min="12034" max="12036" width="8.6640625" style="43" customWidth="1"/>
    <col min="12037" max="12040" width="8.44140625" style="43" customWidth="1"/>
    <col min="12041" max="12042" width="8.6640625" style="43" customWidth="1"/>
    <col min="12043" max="12043" width="8.88671875" style="43" customWidth="1"/>
    <col min="12044" max="12044" width="8.44140625" style="43" customWidth="1"/>
    <col min="12045" max="12045" width="9.44140625" style="43" customWidth="1"/>
    <col min="12046" max="12046" width="3.109375" style="43" customWidth="1"/>
    <col min="12047" max="12048" width="11.44140625" style="43"/>
    <col min="12049" max="12052" width="0" style="43" hidden="1" customWidth="1"/>
    <col min="12053" max="12054" width="1.6640625" style="43" customWidth="1"/>
    <col min="12055" max="12288" width="11.44140625" style="43"/>
    <col min="12289" max="12289" width="14.88671875" style="43" customWidth="1"/>
    <col min="12290" max="12292" width="8.6640625" style="43" customWidth="1"/>
    <col min="12293" max="12296" width="8.44140625" style="43" customWidth="1"/>
    <col min="12297" max="12298" width="8.6640625" style="43" customWidth="1"/>
    <col min="12299" max="12299" width="8.88671875" style="43" customWidth="1"/>
    <col min="12300" max="12300" width="8.44140625" style="43" customWidth="1"/>
    <col min="12301" max="12301" width="9.44140625" style="43" customWidth="1"/>
    <col min="12302" max="12302" width="3.109375" style="43" customWidth="1"/>
    <col min="12303" max="12304" width="11.44140625" style="43"/>
    <col min="12305" max="12308" width="0" style="43" hidden="1" customWidth="1"/>
    <col min="12309" max="12310" width="1.6640625" style="43" customWidth="1"/>
    <col min="12311" max="12544" width="11.44140625" style="43"/>
    <col min="12545" max="12545" width="14.88671875" style="43" customWidth="1"/>
    <col min="12546" max="12548" width="8.6640625" style="43" customWidth="1"/>
    <col min="12549" max="12552" width="8.44140625" style="43" customWidth="1"/>
    <col min="12553" max="12554" width="8.6640625" style="43" customWidth="1"/>
    <col min="12555" max="12555" width="8.88671875" style="43" customWidth="1"/>
    <col min="12556" max="12556" width="8.44140625" style="43" customWidth="1"/>
    <col min="12557" max="12557" width="9.44140625" style="43" customWidth="1"/>
    <col min="12558" max="12558" width="3.109375" style="43" customWidth="1"/>
    <col min="12559" max="12560" width="11.44140625" style="43"/>
    <col min="12561" max="12564" width="0" style="43" hidden="1" customWidth="1"/>
    <col min="12565" max="12566" width="1.6640625" style="43" customWidth="1"/>
    <col min="12567" max="12800" width="11.44140625" style="43"/>
    <col min="12801" max="12801" width="14.88671875" style="43" customWidth="1"/>
    <col min="12802" max="12804" width="8.6640625" style="43" customWidth="1"/>
    <col min="12805" max="12808" width="8.44140625" style="43" customWidth="1"/>
    <col min="12809" max="12810" width="8.6640625" style="43" customWidth="1"/>
    <col min="12811" max="12811" width="8.88671875" style="43" customWidth="1"/>
    <col min="12812" max="12812" width="8.44140625" style="43" customWidth="1"/>
    <col min="12813" max="12813" width="9.44140625" style="43" customWidth="1"/>
    <col min="12814" max="12814" width="3.109375" style="43" customWidth="1"/>
    <col min="12815" max="12816" width="11.44140625" style="43"/>
    <col min="12817" max="12820" width="0" style="43" hidden="1" customWidth="1"/>
    <col min="12821" max="12822" width="1.6640625" style="43" customWidth="1"/>
    <col min="12823" max="13056" width="11.44140625" style="43"/>
    <col min="13057" max="13057" width="14.88671875" style="43" customWidth="1"/>
    <col min="13058" max="13060" width="8.6640625" style="43" customWidth="1"/>
    <col min="13061" max="13064" width="8.44140625" style="43" customWidth="1"/>
    <col min="13065" max="13066" width="8.6640625" style="43" customWidth="1"/>
    <col min="13067" max="13067" width="8.88671875" style="43" customWidth="1"/>
    <col min="13068" max="13068" width="8.44140625" style="43" customWidth="1"/>
    <col min="13069" max="13069" width="9.44140625" style="43" customWidth="1"/>
    <col min="13070" max="13070" width="3.109375" style="43" customWidth="1"/>
    <col min="13071" max="13072" width="11.44140625" style="43"/>
    <col min="13073" max="13076" width="0" style="43" hidden="1" customWidth="1"/>
    <col min="13077" max="13078" width="1.6640625" style="43" customWidth="1"/>
    <col min="13079" max="13312" width="11.44140625" style="43"/>
    <col min="13313" max="13313" width="14.88671875" style="43" customWidth="1"/>
    <col min="13314" max="13316" width="8.6640625" style="43" customWidth="1"/>
    <col min="13317" max="13320" width="8.44140625" style="43" customWidth="1"/>
    <col min="13321" max="13322" width="8.6640625" style="43" customWidth="1"/>
    <col min="13323" max="13323" width="8.88671875" style="43" customWidth="1"/>
    <col min="13324" max="13324" width="8.44140625" style="43" customWidth="1"/>
    <col min="13325" max="13325" width="9.44140625" style="43" customWidth="1"/>
    <col min="13326" max="13326" width="3.109375" style="43" customWidth="1"/>
    <col min="13327" max="13328" width="11.44140625" style="43"/>
    <col min="13329" max="13332" width="0" style="43" hidden="1" customWidth="1"/>
    <col min="13333" max="13334" width="1.6640625" style="43" customWidth="1"/>
    <col min="13335" max="13568" width="11.44140625" style="43"/>
    <col min="13569" max="13569" width="14.88671875" style="43" customWidth="1"/>
    <col min="13570" max="13572" width="8.6640625" style="43" customWidth="1"/>
    <col min="13573" max="13576" width="8.44140625" style="43" customWidth="1"/>
    <col min="13577" max="13578" width="8.6640625" style="43" customWidth="1"/>
    <col min="13579" max="13579" width="8.88671875" style="43" customWidth="1"/>
    <col min="13580" max="13580" width="8.44140625" style="43" customWidth="1"/>
    <col min="13581" max="13581" width="9.44140625" style="43" customWidth="1"/>
    <col min="13582" max="13582" width="3.109375" style="43" customWidth="1"/>
    <col min="13583" max="13584" width="11.44140625" style="43"/>
    <col min="13585" max="13588" width="0" style="43" hidden="1" customWidth="1"/>
    <col min="13589" max="13590" width="1.6640625" style="43" customWidth="1"/>
    <col min="13591" max="13824" width="11.44140625" style="43"/>
    <col min="13825" max="13825" width="14.88671875" style="43" customWidth="1"/>
    <col min="13826" max="13828" width="8.6640625" style="43" customWidth="1"/>
    <col min="13829" max="13832" width="8.44140625" style="43" customWidth="1"/>
    <col min="13833" max="13834" width="8.6640625" style="43" customWidth="1"/>
    <col min="13835" max="13835" width="8.88671875" style="43" customWidth="1"/>
    <col min="13836" max="13836" width="8.44140625" style="43" customWidth="1"/>
    <col min="13837" max="13837" width="9.44140625" style="43" customWidth="1"/>
    <col min="13838" max="13838" width="3.109375" style="43" customWidth="1"/>
    <col min="13839" max="13840" width="11.44140625" style="43"/>
    <col min="13841" max="13844" width="0" style="43" hidden="1" customWidth="1"/>
    <col min="13845" max="13846" width="1.6640625" style="43" customWidth="1"/>
    <col min="13847" max="14080" width="11.44140625" style="43"/>
    <col min="14081" max="14081" width="14.88671875" style="43" customWidth="1"/>
    <col min="14082" max="14084" width="8.6640625" style="43" customWidth="1"/>
    <col min="14085" max="14088" width="8.44140625" style="43" customWidth="1"/>
    <col min="14089" max="14090" width="8.6640625" style="43" customWidth="1"/>
    <col min="14091" max="14091" width="8.88671875" style="43" customWidth="1"/>
    <col min="14092" max="14092" width="8.44140625" style="43" customWidth="1"/>
    <col min="14093" max="14093" width="9.44140625" style="43" customWidth="1"/>
    <col min="14094" max="14094" width="3.109375" style="43" customWidth="1"/>
    <col min="14095" max="14096" width="11.44140625" style="43"/>
    <col min="14097" max="14100" width="0" style="43" hidden="1" customWidth="1"/>
    <col min="14101" max="14102" width="1.6640625" style="43" customWidth="1"/>
    <col min="14103" max="14336" width="11.44140625" style="43"/>
    <col min="14337" max="14337" width="14.88671875" style="43" customWidth="1"/>
    <col min="14338" max="14340" width="8.6640625" style="43" customWidth="1"/>
    <col min="14341" max="14344" width="8.44140625" style="43" customWidth="1"/>
    <col min="14345" max="14346" width="8.6640625" style="43" customWidth="1"/>
    <col min="14347" max="14347" width="8.88671875" style="43" customWidth="1"/>
    <col min="14348" max="14348" width="8.44140625" style="43" customWidth="1"/>
    <col min="14349" max="14349" width="9.44140625" style="43" customWidth="1"/>
    <col min="14350" max="14350" width="3.109375" style="43" customWidth="1"/>
    <col min="14351" max="14352" width="11.44140625" style="43"/>
    <col min="14353" max="14356" width="0" style="43" hidden="1" customWidth="1"/>
    <col min="14357" max="14358" width="1.6640625" style="43" customWidth="1"/>
    <col min="14359" max="14592" width="11.44140625" style="43"/>
    <col min="14593" max="14593" width="14.88671875" style="43" customWidth="1"/>
    <col min="14594" max="14596" width="8.6640625" style="43" customWidth="1"/>
    <col min="14597" max="14600" width="8.44140625" style="43" customWidth="1"/>
    <col min="14601" max="14602" width="8.6640625" style="43" customWidth="1"/>
    <col min="14603" max="14603" width="8.88671875" style="43" customWidth="1"/>
    <col min="14604" max="14604" width="8.44140625" style="43" customWidth="1"/>
    <col min="14605" max="14605" width="9.44140625" style="43" customWidth="1"/>
    <col min="14606" max="14606" width="3.109375" style="43" customWidth="1"/>
    <col min="14607" max="14608" width="11.44140625" style="43"/>
    <col min="14609" max="14612" width="0" style="43" hidden="1" customWidth="1"/>
    <col min="14613" max="14614" width="1.6640625" style="43" customWidth="1"/>
    <col min="14615" max="14848" width="11.44140625" style="43"/>
    <col min="14849" max="14849" width="14.88671875" style="43" customWidth="1"/>
    <col min="14850" max="14852" width="8.6640625" style="43" customWidth="1"/>
    <col min="14853" max="14856" width="8.44140625" style="43" customWidth="1"/>
    <col min="14857" max="14858" width="8.6640625" style="43" customWidth="1"/>
    <col min="14859" max="14859" width="8.88671875" style="43" customWidth="1"/>
    <col min="14860" max="14860" width="8.44140625" style="43" customWidth="1"/>
    <col min="14861" max="14861" width="9.44140625" style="43" customWidth="1"/>
    <col min="14862" max="14862" width="3.109375" style="43" customWidth="1"/>
    <col min="14863" max="14864" width="11.44140625" style="43"/>
    <col min="14865" max="14868" width="0" style="43" hidden="1" customWidth="1"/>
    <col min="14869" max="14870" width="1.6640625" style="43" customWidth="1"/>
    <col min="14871" max="15104" width="11.44140625" style="43"/>
    <col min="15105" max="15105" width="14.88671875" style="43" customWidth="1"/>
    <col min="15106" max="15108" width="8.6640625" style="43" customWidth="1"/>
    <col min="15109" max="15112" width="8.44140625" style="43" customWidth="1"/>
    <col min="15113" max="15114" width="8.6640625" style="43" customWidth="1"/>
    <col min="15115" max="15115" width="8.88671875" style="43" customWidth="1"/>
    <col min="15116" max="15116" width="8.44140625" style="43" customWidth="1"/>
    <col min="15117" max="15117" width="9.44140625" style="43" customWidth="1"/>
    <col min="15118" max="15118" width="3.109375" style="43" customWidth="1"/>
    <col min="15119" max="15120" width="11.44140625" style="43"/>
    <col min="15121" max="15124" width="0" style="43" hidden="1" customWidth="1"/>
    <col min="15125" max="15126" width="1.6640625" style="43" customWidth="1"/>
    <col min="15127" max="15360" width="11.44140625" style="43"/>
    <col min="15361" max="15361" width="14.88671875" style="43" customWidth="1"/>
    <col min="15362" max="15364" width="8.6640625" style="43" customWidth="1"/>
    <col min="15365" max="15368" width="8.44140625" style="43" customWidth="1"/>
    <col min="15369" max="15370" width="8.6640625" style="43" customWidth="1"/>
    <col min="15371" max="15371" width="8.88671875" style="43" customWidth="1"/>
    <col min="15372" max="15372" width="8.44140625" style="43" customWidth="1"/>
    <col min="15373" max="15373" width="9.44140625" style="43" customWidth="1"/>
    <col min="15374" max="15374" width="3.109375" style="43" customWidth="1"/>
    <col min="15375" max="15376" width="11.44140625" style="43"/>
    <col min="15377" max="15380" width="0" style="43" hidden="1" customWidth="1"/>
    <col min="15381" max="15382" width="1.6640625" style="43" customWidth="1"/>
    <col min="15383" max="15616" width="11.44140625" style="43"/>
    <col min="15617" max="15617" width="14.88671875" style="43" customWidth="1"/>
    <col min="15618" max="15620" width="8.6640625" style="43" customWidth="1"/>
    <col min="15621" max="15624" width="8.44140625" style="43" customWidth="1"/>
    <col min="15625" max="15626" width="8.6640625" style="43" customWidth="1"/>
    <col min="15627" max="15627" width="8.88671875" style="43" customWidth="1"/>
    <col min="15628" max="15628" width="8.44140625" style="43" customWidth="1"/>
    <col min="15629" max="15629" width="9.44140625" style="43" customWidth="1"/>
    <col min="15630" max="15630" width="3.109375" style="43" customWidth="1"/>
    <col min="15631" max="15632" width="11.44140625" style="43"/>
    <col min="15633" max="15636" width="0" style="43" hidden="1" customWidth="1"/>
    <col min="15637" max="15638" width="1.6640625" style="43" customWidth="1"/>
    <col min="15639" max="15872" width="11.44140625" style="43"/>
    <col min="15873" max="15873" width="14.88671875" style="43" customWidth="1"/>
    <col min="15874" max="15876" width="8.6640625" style="43" customWidth="1"/>
    <col min="15877" max="15880" width="8.44140625" style="43" customWidth="1"/>
    <col min="15881" max="15882" width="8.6640625" style="43" customWidth="1"/>
    <col min="15883" max="15883" width="8.88671875" style="43" customWidth="1"/>
    <col min="15884" max="15884" width="8.44140625" style="43" customWidth="1"/>
    <col min="15885" max="15885" width="9.44140625" style="43" customWidth="1"/>
    <col min="15886" max="15886" width="3.109375" style="43" customWidth="1"/>
    <col min="15887" max="15888" width="11.44140625" style="43"/>
    <col min="15889" max="15892" width="0" style="43" hidden="1" customWidth="1"/>
    <col min="15893" max="15894" width="1.6640625" style="43" customWidth="1"/>
    <col min="15895" max="16128" width="11.44140625" style="43"/>
    <col min="16129" max="16129" width="14.88671875" style="43" customWidth="1"/>
    <col min="16130" max="16132" width="8.6640625" style="43" customWidth="1"/>
    <col min="16133" max="16136" width="8.44140625" style="43" customWidth="1"/>
    <col min="16137" max="16138" width="8.6640625" style="43" customWidth="1"/>
    <col min="16139" max="16139" width="8.88671875" style="43" customWidth="1"/>
    <col min="16140" max="16140" width="8.44140625" style="43" customWidth="1"/>
    <col min="16141" max="16141" width="9.44140625" style="43" customWidth="1"/>
    <col min="16142" max="16142" width="3.109375" style="43" customWidth="1"/>
    <col min="16143" max="16144" width="11.44140625" style="43"/>
    <col min="16145" max="16148" width="0" style="43" hidden="1" customWidth="1"/>
    <col min="16149" max="16150" width="1.6640625" style="43" customWidth="1"/>
    <col min="16151" max="16384" width="11.44140625" style="43"/>
  </cols>
  <sheetData>
    <row r="1" spans="1:26" ht="13.8">
      <c r="A1" s="436"/>
      <c r="B1" s="42"/>
      <c r="C1" s="42"/>
      <c r="D1" s="42"/>
      <c r="E1" s="42"/>
      <c r="F1" s="42"/>
      <c r="G1" s="42"/>
      <c r="H1" s="42"/>
      <c r="I1" s="42"/>
      <c r="J1" s="42"/>
      <c r="K1" s="42"/>
      <c r="L1" s="42"/>
      <c r="M1" s="42"/>
      <c r="N1" s="437"/>
      <c r="Q1" s="438"/>
      <c r="R1" s="438"/>
      <c r="S1" s="438"/>
      <c r="T1" s="438"/>
      <c r="U1" s="439">
        <v>0</v>
      </c>
      <c r="V1" s="439">
        <v>0</v>
      </c>
    </row>
    <row r="2" spans="1:26">
      <c r="A2" s="440" t="s">
        <v>356</v>
      </c>
      <c r="B2" s="42"/>
      <c r="C2" s="42"/>
      <c r="D2" s="42"/>
      <c r="E2" s="42"/>
      <c r="F2" s="42"/>
      <c r="G2" s="42"/>
      <c r="H2" s="42"/>
      <c r="I2" s="42"/>
      <c r="J2" s="42"/>
      <c r="K2" s="42"/>
      <c r="L2" s="42"/>
      <c r="M2" s="42"/>
      <c r="U2" s="439">
        <v>10</v>
      </c>
      <c r="V2" s="439">
        <v>10</v>
      </c>
    </row>
    <row r="3" spans="1:26" ht="21.6" thickBot="1">
      <c r="A3" s="441" t="s">
        <v>357</v>
      </c>
      <c r="B3" s="441"/>
      <c r="C3" s="441"/>
      <c r="D3" s="441"/>
      <c r="E3" s="441"/>
      <c r="F3" s="441"/>
      <c r="G3" s="441"/>
      <c r="H3" s="441"/>
      <c r="I3" s="441"/>
      <c r="J3" s="441"/>
      <c r="K3" s="441"/>
      <c r="L3" s="442"/>
      <c r="M3" s="442"/>
      <c r="O3" s="42" t="s">
        <v>358</v>
      </c>
      <c r="P3" s="42"/>
      <c r="Q3" s="42"/>
      <c r="R3" s="42"/>
      <c r="S3" s="42"/>
      <c r="T3" s="42"/>
      <c r="U3" s="439">
        <f t="shared" ref="U3:V8" si="0">10+U2</f>
        <v>20</v>
      </c>
      <c r="V3" s="439">
        <f t="shared" si="0"/>
        <v>20</v>
      </c>
      <c r="W3" s="443"/>
      <c r="X3" s="443"/>
      <c r="Y3" s="443"/>
      <c r="Z3" s="443"/>
    </row>
    <row r="4" spans="1:26" ht="13.8" thickBot="1">
      <c r="A4" s="444" t="s">
        <v>359</v>
      </c>
      <c r="B4" s="444"/>
      <c r="C4" s="444"/>
      <c r="D4" s="444"/>
      <c r="E4" s="444"/>
      <c r="F4" s="444"/>
      <c r="G4" s="444"/>
      <c r="H4" s="444"/>
      <c r="I4" s="444"/>
      <c r="J4" s="444"/>
      <c r="K4" s="444"/>
      <c r="L4" s="445"/>
      <c r="M4" s="445"/>
      <c r="O4" s="1399" t="s">
        <v>360</v>
      </c>
      <c r="P4" s="1400"/>
      <c r="Q4" s="42" t="s">
        <v>361</v>
      </c>
      <c r="R4" s="42"/>
      <c r="S4" s="42"/>
      <c r="T4" s="42" t="str">
        <f>+IF('AASHTO N° 02'!P8&lt;=35,"Suelo Granular","Suelo Fino")</f>
        <v>Suelo Granular</v>
      </c>
      <c r="U4" s="439">
        <f t="shared" si="0"/>
        <v>30</v>
      </c>
      <c r="V4" s="439">
        <f t="shared" si="0"/>
        <v>30</v>
      </c>
      <c r="W4" s="443"/>
      <c r="X4" s="443"/>
      <c r="Y4" s="443"/>
      <c r="Z4" s="443"/>
    </row>
    <row r="5" spans="1:26">
      <c r="A5" s="446"/>
      <c r="B5" s="446"/>
      <c r="C5" s="446"/>
      <c r="D5" s="446"/>
      <c r="E5" s="446"/>
      <c r="F5" s="446"/>
      <c r="G5" s="446"/>
      <c r="H5" s="446"/>
      <c r="I5" s="446"/>
      <c r="J5" s="446"/>
      <c r="K5" s="446"/>
      <c r="L5" s="446"/>
      <c r="M5" s="446"/>
      <c r="O5" s="447" t="s">
        <v>163</v>
      </c>
      <c r="P5" s="448" t="s">
        <v>362</v>
      </c>
      <c r="Q5" s="42" t="s">
        <v>363</v>
      </c>
      <c r="R5" s="42"/>
      <c r="S5" s="42"/>
      <c r="T5" s="42" t="str">
        <f>+IF(T4="Suelo Granular",IF(AND('AASHTO N° 02'!P6&lt;=50,'AASHTO N° 02'!P7&lt;=30,'AASHTO N° 02'!P8&lt;=15,'AASHTO N° 02'!P11&lt;=6),"A-1-a",IF(AND('AASHTO N° 02'!P7&lt;=50,'AASHTO N° 02'!P8&lt;=25,'AASHTO N° 02'!P11&lt;=6),"A-1-b",IF(AND('AASHTO N° 02'!P7&gt;=51,'AASHTO N° 02'!P8&lt;=10),"A-3",IF('AASHTO N° 02'!P8&lt;=35.4,"A-2","Suelo fino - ver Determinación de Grupos Ffinos")))),"--------")</f>
        <v>A-2</v>
      </c>
      <c r="U5" s="439">
        <f t="shared" si="0"/>
        <v>40</v>
      </c>
      <c r="V5" s="439">
        <f t="shared" si="0"/>
        <v>40</v>
      </c>
      <c r="W5" s="45"/>
      <c r="X5" s="45"/>
      <c r="Y5" s="45"/>
      <c r="Z5" s="45"/>
    </row>
    <row r="6" spans="1:26">
      <c r="A6" s="449" t="s">
        <v>364</v>
      </c>
      <c r="B6" s="450"/>
      <c r="C6" s="450"/>
      <c r="D6" s="450"/>
      <c r="E6" s="450"/>
      <c r="F6" s="450"/>
      <c r="G6" s="450"/>
      <c r="H6" s="450"/>
      <c r="I6" s="450"/>
      <c r="J6" s="450"/>
      <c r="K6" s="450"/>
      <c r="L6" s="450"/>
      <c r="M6" s="450"/>
      <c r="O6" s="451" t="s">
        <v>365</v>
      </c>
      <c r="P6" s="452">
        <f>'D6913'!F36</f>
        <v>52.573077780713355</v>
      </c>
      <c r="Q6" s="42" t="s">
        <v>366</v>
      </c>
      <c r="R6" s="42"/>
      <c r="S6" s="42"/>
      <c r="T6" s="42" t="str">
        <f>+IF(T4="Suelo Fino",IF(AND('AASHTO N° 02'!P10&lt;=40.4,'AASHTO N° 02'!P11&lt;=10.4),"A-4",IF(AND('AASHTO N° 02'!P10&gt;=40.5,'AASHTO N° 02'!P11&lt;=10.4),"A-5",IF(AND('AASHTO N° 02'!P10&lt;=40.4,'AASHTO N° 02'!P11&gt;=10.5),"A-6",IF(AND('AASHTO N° 02'!P10&gt;=40.5,'AASHTO N° 02'!P11&gt;=10.5),"A-7","")))),"--------")</f>
        <v>--------</v>
      </c>
      <c r="U6" s="439">
        <f t="shared" si="0"/>
        <v>50</v>
      </c>
      <c r="V6" s="439">
        <f t="shared" si="0"/>
        <v>50</v>
      </c>
      <c r="W6" s="45"/>
      <c r="X6" s="45"/>
      <c r="Y6" s="45"/>
      <c r="Z6" s="45"/>
    </row>
    <row r="7" spans="1:26" ht="13.8" thickBot="1">
      <c r="A7" s="42"/>
      <c r="B7" s="42"/>
      <c r="C7" s="42"/>
      <c r="D7" s="42"/>
      <c r="E7" s="42"/>
      <c r="F7" s="42"/>
      <c r="G7" s="42"/>
      <c r="H7" s="42"/>
      <c r="I7" s="42"/>
      <c r="J7" s="42"/>
      <c r="K7" s="42"/>
      <c r="L7" s="42"/>
      <c r="M7" s="42"/>
      <c r="O7" s="451" t="s">
        <v>367</v>
      </c>
      <c r="P7" s="452">
        <f>'D6913'!F40</f>
        <v>29.505502040091685</v>
      </c>
      <c r="Q7" s="42" t="s">
        <v>368</v>
      </c>
      <c r="R7" s="42"/>
      <c r="S7" s="42"/>
      <c r="T7" s="42" t="str">
        <f>+IF(T4="Suelo Granular",IF(AND('AASHTO N° 02'!P10&lt;=40.4,'AASHTO N° 02'!P11&lt;=10.4),"A-2-4",IF(AND('AASHTO N° 02'!P10&gt;=40.5,'AASHTO N° 02'!P11&lt;=10.4),"A-2-5",IF(AND('AASHTO N° 02'!P10&lt;=40.4,'AASHTO N° 02'!P11&gt;=10.5),"A-2-6",IF(AND('AASHTO N° 02'!P10&gt;=40.5,'AASHTO N° 02'!P11&gt;=10.5),"A-2-7","")))),"--------")</f>
        <v>A-2-6</v>
      </c>
      <c r="U7" s="439">
        <f t="shared" si="0"/>
        <v>60</v>
      </c>
      <c r="V7" s="439">
        <f t="shared" si="0"/>
        <v>60</v>
      </c>
      <c r="W7" s="42"/>
      <c r="X7" s="42"/>
      <c r="Y7" s="42"/>
      <c r="Z7" s="42"/>
    </row>
    <row r="8" spans="1:26" ht="16.2" customHeight="1" thickTop="1" thickBot="1">
      <c r="A8" s="453" t="s">
        <v>369</v>
      </c>
      <c r="B8" s="1401" t="s">
        <v>370</v>
      </c>
      <c r="C8" s="1402"/>
      <c r="D8" s="1402"/>
      <c r="E8" s="1402"/>
      <c r="F8" s="1402"/>
      <c r="G8" s="1402"/>
      <c r="H8" s="1403"/>
      <c r="I8" s="1401" t="s">
        <v>371</v>
      </c>
      <c r="J8" s="1402"/>
      <c r="K8" s="1402"/>
      <c r="L8" s="1403"/>
      <c r="M8" s="454" t="s">
        <v>372</v>
      </c>
      <c r="O8" s="455" t="s">
        <v>373</v>
      </c>
      <c r="P8" s="456">
        <f>'D6913'!F46</f>
        <v>17.326860739133082</v>
      </c>
      <c r="Q8" s="42" t="s">
        <v>374</v>
      </c>
      <c r="R8" s="42"/>
      <c r="S8" s="42"/>
      <c r="T8" s="42" t="str">
        <f>+IF(T6="A-7",IF('AASHTO N° 02'!P11&lt;=('AASHTO N° 02'!P10-30),"A-7-5","A-7-6"),"--------")</f>
        <v>--------</v>
      </c>
      <c r="U8" s="439">
        <f t="shared" si="0"/>
        <v>70</v>
      </c>
      <c r="V8" s="439">
        <f t="shared" si="0"/>
        <v>70</v>
      </c>
      <c r="W8" s="42"/>
      <c r="X8" s="42"/>
      <c r="Y8" s="42"/>
      <c r="Z8" s="42"/>
    </row>
    <row r="9" spans="1:26" ht="16.2" customHeight="1" thickBot="1">
      <c r="A9" s="457" t="s">
        <v>375</v>
      </c>
      <c r="B9" s="1382" t="s">
        <v>376</v>
      </c>
      <c r="C9" s="1404"/>
      <c r="D9" s="1404"/>
      <c r="E9" s="1404"/>
      <c r="F9" s="1404"/>
      <c r="G9" s="1404"/>
      <c r="H9" s="1405"/>
      <c r="I9" s="1368" t="s">
        <v>377</v>
      </c>
      <c r="J9" s="1371"/>
      <c r="K9" s="1371"/>
      <c r="L9" s="1372"/>
      <c r="M9" s="458" t="s">
        <v>378</v>
      </c>
      <c r="O9" s="1399" t="s">
        <v>379</v>
      </c>
      <c r="P9" s="1400"/>
      <c r="Q9" s="42" t="s">
        <v>380</v>
      </c>
      <c r="R9" s="42"/>
      <c r="S9" s="42"/>
      <c r="T9" s="459">
        <f>+ROUND(IF(OR(T7="A-2-6",T7="A-2-7"),('AASHTO N° 02'!P8-15)*('AASHTO N° 02'!P11-10)*0.01,('AASHTO N° 02'!P8-35)*(0.2+0.005*('AASHTO N° 02'!P10-40))+('AASHTO N° 02'!P8-15)*('AASHTO N° 02'!P11-10)*0.01),0)</f>
        <v>0</v>
      </c>
      <c r="U9" s="439"/>
      <c r="V9" s="439">
        <f>10+V8</f>
        <v>80</v>
      </c>
      <c r="W9" s="42"/>
      <c r="X9" s="42"/>
      <c r="Y9" s="42"/>
      <c r="Z9" s="42"/>
    </row>
    <row r="10" spans="1:26" ht="16.2" customHeight="1">
      <c r="A10" s="460" t="s">
        <v>381</v>
      </c>
      <c r="B10" s="1389" t="s">
        <v>382</v>
      </c>
      <c r="C10" s="1390"/>
      <c r="D10" s="1391" t="s">
        <v>383</v>
      </c>
      <c r="E10" s="1390" t="s">
        <v>384</v>
      </c>
      <c r="F10" s="1390"/>
      <c r="G10" s="1390"/>
      <c r="H10" s="1390"/>
      <c r="I10" s="1394" t="s">
        <v>385</v>
      </c>
      <c r="J10" s="1391" t="s">
        <v>386</v>
      </c>
      <c r="K10" s="1391" t="s">
        <v>387</v>
      </c>
      <c r="L10" s="461" t="s">
        <v>388</v>
      </c>
      <c r="M10" s="1379" t="s">
        <v>389</v>
      </c>
      <c r="O10" s="447" t="s">
        <v>390</v>
      </c>
      <c r="P10" s="462">
        <f>IF('D4318'!F59="NP",0,'D4318'!F59)</f>
        <v>31</v>
      </c>
      <c r="S10" s="42"/>
      <c r="T10" s="459">
        <f>IF(T9&lt;0,0,T9)</f>
        <v>0</v>
      </c>
      <c r="U10" s="439"/>
      <c r="V10" s="439">
        <f>10+V9</f>
        <v>90</v>
      </c>
      <c r="W10" s="42"/>
      <c r="X10" s="42"/>
      <c r="Y10" s="42"/>
      <c r="Z10" s="42"/>
    </row>
    <row r="11" spans="1:26" ht="16.2" customHeight="1" thickBot="1">
      <c r="A11" s="463" t="s">
        <v>391</v>
      </c>
      <c r="B11" s="464" t="s">
        <v>392</v>
      </c>
      <c r="C11" s="465" t="s">
        <v>393</v>
      </c>
      <c r="D11" s="1392"/>
      <c r="E11" s="466" t="s">
        <v>394</v>
      </c>
      <c r="F11" s="467" t="s">
        <v>395</v>
      </c>
      <c r="G11" s="467" t="s">
        <v>396</v>
      </c>
      <c r="H11" s="466" t="s">
        <v>397</v>
      </c>
      <c r="I11" s="1395"/>
      <c r="J11" s="1397"/>
      <c r="K11" s="1397"/>
      <c r="L11" s="466" t="s">
        <v>398</v>
      </c>
      <c r="M11" s="1380"/>
      <c r="O11" s="455" t="s">
        <v>399</v>
      </c>
      <c r="P11" s="456">
        <f>IF('D4318'!F61="NP",0,'D4318'!F61)</f>
        <v>11.615210490445087</v>
      </c>
      <c r="S11" s="42"/>
      <c r="U11" s="439"/>
      <c r="V11" s="439">
        <f>10+V10</f>
        <v>100</v>
      </c>
      <c r="W11" s="42"/>
      <c r="X11" s="42"/>
      <c r="Y11" s="42"/>
      <c r="Z11" s="42"/>
    </row>
    <row r="12" spans="1:26" ht="16.2" customHeight="1" thickBot="1">
      <c r="A12" s="468" t="s">
        <v>400</v>
      </c>
      <c r="B12" s="469"/>
      <c r="C12" s="470"/>
      <c r="D12" s="1393"/>
      <c r="E12" s="471"/>
      <c r="F12" s="472"/>
      <c r="G12" s="472"/>
      <c r="H12" s="471"/>
      <c r="I12" s="1396"/>
      <c r="J12" s="1398"/>
      <c r="K12" s="1398"/>
      <c r="L12" s="471" t="s">
        <v>401</v>
      </c>
      <c r="M12" s="1381"/>
      <c r="O12" s="473" t="s">
        <v>402</v>
      </c>
      <c r="P12" s="474" t="str">
        <f>+IF(AND(T5&lt;&gt;"--------",T5&lt;&gt;"A-2"),IF(T10&gt;0,CONCATENATE(T5,"(",T10,")"),CONCATENATE(T5,"(0)")),IF(T5="A-2",CONCATENATE(T7,"(",T10,")"),IF(T6&lt;&gt;"A-7",CONCATENATE(T6,"(",T10,")"),IF(T6="A-7",CONCATENATE(T8,"(",T10,")","")))))</f>
        <v>A-2-6(0)</v>
      </c>
      <c r="S12" s="42"/>
      <c r="T12" s="42"/>
      <c r="U12" s="439"/>
      <c r="V12" s="439"/>
      <c r="W12" s="42"/>
      <c r="X12" s="42"/>
      <c r="Y12" s="42"/>
      <c r="Z12" s="42"/>
    </row>
    <row r="13" spans="1:26">
      <c r="A13" s="457" t="s">
        <v>403</v>
      </c>
      <c r="B13" s="475"/>
      <c r="C13" s="476"/>
      <c r="D13" s="477"/>
      <c r="E13" s="478"/>
      <c r="F13" s="479"/>
      <c r="G13" s="479"/>
      <c r="H13" s="478"/>
      <c r="I13" s="480"/>
      <c r="J13" s="477"/>
      <c r="K13" s="477"/>
      <c r="L13" s="478"/>
      <c r="M13" s="481"/>
      <c r="O13" s="42"/>
      <c r="P13" s="45"/>
      <c r="S13" s="42"/>
      <c r="T13" s="42"/>
      <c r="U13" s="439"/>
      <c r="V13" s="439"/>
      <c r="W13" s="45"/>
      <c r="X13" s="45"/>
      <c r="Y13" s="42"/>
      <c r="Z13" s="42"/>
    </row>
    <row r="14" spans="1:26">
      <c r="A14" s="457" t="s">
        <v>404</v>
      </c>
      <c r="B14" s="480"/>
      <c r="C14" s="482"/>
      <c r="D14" s="477"/>
      <c r="E14" s="42"/>
      <c r="F14" s="483"/>
      <c r="G14" s="484"/>
      <c r="H14" s="42"/>
      <c r="I14" s="480"/>
      <c r="J14" s="477"/>
      <c r="K14" s="477"/>
      <c r="L14" s="42"/>
      <c r="M14" s="485" t="s">
        <v>405</v>
      </c>
      <c r="O14" s="42"/>
      <c r="P14" s="42"/>
      <c r="S14" s="42"/>
      <c r="T14" s="42"/>
      <c r="U14" s="439"/>
      <c r="V14" s="439"/>
      <c r="W14" s="42"/>
      <c r="X14" s="42"/>
      <c r="Y14" s="42"/>
      <c r="Z14" s="42"/>
    </row>
    <row r="15" spans="1:26">
      <c r="A15" s="457" t="s">
        <v>406</v>
      </c>
      <c r="B15" s="486" t="s">
        <v>407</v>
      </c>
      <c r="C15" s="482" t="s">
        <v>408</v>
      </c>
      <c r="D15" s="477" t="s">
        <v>409</v>
      </c>
      <c r="E15" s="42" t="s">
        <v>409</v>
      </c>
      <c r="F15" s="483" t="s">
        <v>408</v>
      </c>
      <c r="G15" s="484" t="s">
        <v>408</v>
      </c>
      <c r="H15" s="46" t="s">
        <v>408</v>
      </c>
      <c r="I15" s="480" t="s">
        <v>408</v>
      </c>
      <c r="J15" s="477" t="s">
        <v>409</v>
      </c>
      <c r="K15" s="477" t="s">
        <v>409</v>
      </c>
      <c r="L15" s="477" t="s">
        <v>409</v>
      </c>
      <c r="M15" s="485" t="s">
        <v>410</v>
      </c>
      <c r="V15" s="439"/>
      <c r="W15" s="42"/>
      <c r="X15" s="42"/>
      <c r="Y15" s="42"/>
      <c r="Z15" s="42"/>
    </row>
    <row r="16" spans="1:26" ht="13.5" customHeight="1">
      <c r="A16" s="457" t="s">
        <v>411</v>
      </c>
      <c r="B16" s="480" t="s">
        <v>412</v>
      </c>
      <c r="C16" s="482" t="s">
        <v>407</v>
      </c>
      <c r="D16" s="477" t="s">
        <v>413</v>
      </c>
      <c r="E16" s="42" t="s">
        <v>409</v>
      </c>
      <c r="F16" s="483" t="s">
        <v>408</v>
      </c>
      <c r="G16" s="484" t="s">
        <v>408</v>
      </c>
      <c r="H16" s="46" t="s">
        <v>408</v>
      </c>
      <c r="I16" s="480" t="s">
        <v>408</v>
      </c>
      <c r="J16" s="477" t="s">
        <v>409</v>
      </c>
      <c r="K16" s="477" t="s">
        <v>409</v>
      </c>
      <c r="L16" s="477" t="s">
        <v>409</v>
      </c>
      <c r="M16" s="485" t="s">
        <v>414</v>
      </c>
      <c r="V16" s="439"/>
      <c r="W16" s="42"/>
      <c r="X16" s="42"/>
      <c r="Y16" s="42"/>
      <c r="Z16" s="42"/>
    </row>
    <row r="17" spans="1:26">
      <c r="A17" s="488" t="s">
        <v>415</v>
      </c>
      <c r="B17" s="489" t="s">
        <v>416</v>
      </c>
      <c r="C17" s="490" t="s">
        <v>417</v>
      </c>
      <c r="D17" s="491" t="s">
        <v>418</v>
      </c>
      <c r="E17" s="492" t="s">
        <v>419</v>
      </c>
      <c r="F17" s="493" t="s">
        <v>419</v>
      </c>
      <c r="G17" s="493" t="s">
        <v>419</v>
      </c>
      <c r="H17" s="492" t="s">
        <v>419</v>
      </c>
      <c r="I17" s="489" t="s">
        <v>420</v>
      </c>
      <c r="J17" s="491" t="s">
        <v>420</v>
      </c>
      <c r="K17" s="491" t="s">
        <v>420</v>
      </c>
      <c r="L17" s="494" t="s">
        <v>420</v>
      </c>
      <c r="M17" s="485" t="s">
        <v>421</v>
      </c>
      <c r="V17" s="439"/>
      <c r="W17" s="42"/>
      <c r="X17" s="42"/>
      <c r="Y17" s="42"/>
      <c r="Z17" s="42"/>
    </row>
    <row r="18" spans="1:26">
      <c r="A18" s="457" t="s">
        <v>422</v>
      </c>
      <c r="B18" s="480" t="s">
        <v>408</v>
      </c>
      <c r="C18" s="46"/>
      <c r="D18" s="477" t="s">
        <v>409</v>
      </c>
      <c r="E18" s="42" t="s">
        <v>423</v>
      </c>
      <c r="F18" s="484" t="s">
        <v>424</v>
      </c>
      <c r="G18" s="484" t="s">
        <v>423</v>
      </c>
      <c r="H18" s="42" t="s">
        <v>424</v>
      </c>
      <c r="I18" s="480" t="s">
        <v>423</v>
      </c>
      <c r="J18" s="477" t="s">
        <v>424</v>
      </c>
      <c r="K18" s="477" t="s">
        <v>423</v>
      </c>
      <c r="L18" s="42" t="s">
        <v>424</v>
      </c>
      <c r="M18" s="485" t="s">
        <v>425</v>
      </c>
      <c r="V18" s="439"/>
      <c r="W18" s="42"/>
      <c r="X18" s="42"/>
      <c r="Y18" s="42"/>
      <c r="Z18" s="42"/>
    </row>
    <row r="19" spans="1:26">
      <c r="A19" s="457" t="s">
        <v>399</v>
      </c>
      <c r="B19" s="1382" t="s">
        <v>426</v>
      </c>
      <c r="C19" s="1383"/>
      <c r="D19" s="495" t="s">
        <v>427</v>
      </c>
      <c r="E19" s="42" t="s">
        <v>418</v>
      </c>
      <c r="F19" s="484" t="s">
        <v>418</v>
      </c>
      <c r="G19" s="484" t="s">
        <v>428</v>
      </c>
      <c r="H19" s="42" t="s">
        <v>428</v>
      </c>
      <c r="I19" s="480" t="s">
        <v>418</v>
      </c>
      <c r="J19" s="477" t="s">
        <v>418</v>
      </c>
      <c r="K19" s="477" t="s">
        <v>428</v>
      </c>
      <c r="L19" s="42" t="s">
        <v>429</v>
      </c>
      <c r="M19" s="485" t="s">
        <v>430</v>
      </c>
      <c r="V19" s="439"/>
      <c r="W19" s="42"/>
      <c r="X19" s="42"/>
      <c r="Y19" s="42"/>
      <c r="Z19" s="42"/>
    </row>
    <row r="20" spans="1:26">
      <c r="A20" s="496" t="s">
        <v>431</v>
      </c>
      <c r="B20" s="1384" t="s">
        <v>432</v>
      </c>
      <c r="C20" s="1385"/>
      <c r="D20" s="497" t="s">
        <v>433</v>
      </c>
      <c r="E20" s="1386" t="s">
        <v>434</v>
      </c>
      <c r="F20" s="1387"/>
      <c r="G20" s="1387"/>
      <c r="H20" s="1388"/>
      <c r="I20" s="1384" t="s">
        <v>372</v>
      </c>
      <c r="J20" s="1385"/>
      <c r="K20" s="1386" t="s">
        <v>372</v>
      </c>
      <c r="L20" s="1388"/>
      <c r="M20" s="498" t="s">
        <v>435</v>
      </c>
      <c r="V20" s="439"/>
      <c r="W20" s="42"/>
      <c r="X20" s="42"/>
      <c r="Y20" s="42"/>
      <c r="Z20" s="42"/>
    </row>
    <row r="21" spans="1:26">
      <c r="A21" s="499" t="s">
        <v>436</v>
      </c>
      <c r="B21" s="1368" t="s">
        <v>437</v>
      </c>
      <c r="C21" s="1369"/>
      <c r="D21" s="500" t="s">
        <v>92</v>
      </c>
      <c r="E21" s="1370" t="s">
        <v>438</v>
      </c>
      <c r="F21" s="1371"/>
      <c r="G21" s="1371"/>
      <c r="H21" s="1372"/>
      <c r="I21" s="1368" t="s">
        <v>439</v>
      </c>
      <c r="J21" s="1369"/>
      <c r="K21" s="1370" t="s">
        <v>440</v>
      </c>
      <c r="L21" s="1372"/>
      <c r="M21" s="458" t="s">
        <v>441</v>
      </c>
      <c r="V21" s="439"/>
      <c r="W21" s="42"/>
      <c r="X21" s="42"/>
      <c r="Y21" s="42"/>
      <c r="Z21" s="42"/>
    </row>
    <row r="22" spans="1:26">
      <c r="A22" s="457" t="s">
        <v>442</v>
      </c>
      <c r="B22" s="1373" t="s">
        <v>443</v>
      </c>
      <c r="C22" s="1374"/>
      <c r="D22" s="1374"/>
      <c r="E22" s="1374"/>
      <c r="F22" s="1374"/>
      <c r="G22" s="1374"/>
      <c r="H22" s="1375"/>
      <c r="I22" s="1373" t="s">
        <v>444</v>
      </c>
      <c r="J22" s="1374"/>
      <c r="K22" s="1374"/>
      <c r="L22" s="1375"/>
      <c r="M22" s="1366" t="s">
        <v>445</v>
      </c>
      <c r="V22" s="439"/>
      <c r="W22" s="42"/>
      <c r="X22" s="42"/>
      <c r="Y22" s="42"/>
      <c r="Z22" s="42"/>
    </row>
    <row r="23" spans="1:26" ht="13.8" thickBot="1">
      <c r="A23" s="501" t="s">
        <v>446</v>
      </c>
      <c r="B23" s="1376"/>
      <c r="C23" s="1377"/>
      <c r="D23" s="1377"/>
      <c r="E23" s="1377"/>
      <c r="F23" s="1377"/>
      <c r="G23" s="1377"/>
      <c r="H23" s="1378"/>
      <c r="I23" s="1376"/>
      <c r="J23" s="1377"/>
      <c r="K23" s="1377"/>
      <c r="L23" s="1378"/>
      <c r="M23" s="1367"/>
      <c r="V23" s="439"/>
      <c r="W23" s="42"/>
      <c r="X23" s="42"/>
      <c r="Y23" s="42"/>
      <c r="Z23" s="42"/>
    </row>
    <row r="24" spans="1:26" ht="15" customHeight="1" thickTop="1">
      <c r="A24" s="42" t="s">
        <v>447</v>
      </c>
      <c r="B24" s="42"/>
      <c r="C24" s="42"/>
      <c r="D24" s="42"/>
      <c r="E24" s="42"/>
      <c r="F24" s="42"/>
      <c r="G24" s="42"/>
      <c r="H24" s="42"/>
      <c r="I24" s="42"/>
      <c r="J24" s="42"/>
      <c r="K24" s="47"/>
      <c r="L24" s="42"/>
      <c r="M24" s="42"/>
      <c r="O24" s="42"/>
      <c r="P24" s="42"/>
      <c r="Q24" s="42"/>
      <c r="R24" s="42"/>
      <c r="S24" s="42"/>
      <c r="T24" s="42"/>
      <c r="U24" s="439"/>
      <c r="V24" s="439"/>
      <c r="W24" s="42"/>
      <c r="X24" s="42"/>
      <c r="Y24" s="42"/>
      <c r="Z24" s="42"/>
    </row>
    <row r="25" spans="1:26">
      <c r="A25" s="459" t="s">
        <v>448</v>
      </c>
      <c r="B25" s="42"/>
      <c r="C25" s="42"/>
      <c r="D25" s="42"/>
      <c r="E25" s="42"/>
      <c r="F25" s="42"/>
      <c r="G25" s="42"/>
      <c r="H25" s="42"/>
      <c r="I25" s="42"/>
      <c r="J25" s="42"/>
      <c r="K25" s="42"/>
      <c r="L25" s="42"/>
      <c r="M25" s="42"/>
    </row>
    <row r="26" spans="1:26">
      <c r="A26" s="45"/>
      <c r="B26" s="42"/>
      <c r="C26" s="42"/>
      <c r="D26" s="42"/>
      <c r="E26" s="42"/>
      <c r="F26" s="42"/>
      <c r="G26" s="42"/>
      <c r="H26" s="42"/>
      <c r="I26" s="42"/>
      <c r="J26" s="42"/>
      <c r="K26" s="47"/>
      <c r="L26" s="42"/>
      <c r="M26" s="42"/>
    </row>
    <row r="27" spans="1:26">
      <c r="A27" s="45"/>
      <c r="B27" s="42"/>
      <c r="C27" s="42"/>
      <c r="D27" s="42"/>
      <c r="E27" s="42"/>
      <c r="F27" s="42"/>
      <c r="G27" s="42"/>
      <c r="H27" s="42"/>
      <c r="I27" s="42"/>
      <c r="J27" s="42"/>
      <c r="K27" s="47"/>
      <c r="L27" s="42"/>
      <c r="M27" s="42"/>
    </row>
    <row r="28" spans="1:26">
      <c r="A28" s="45"/>
      <c r="B28" s="42"/>
      <c r="C28" s="42"/>
      <c r="D28" s="42"/>
      <c r="E28" s="42"/>
      <c r="F28" s="42"/>
      <c r="G28" s="42"/>
      <c r="H28" s="42"/>
      <c r="I28" s="42"/>
      <c r="J28" s="42"/>
      <c r="K28" s="42"/>
      <c r="L28" s="42"/>
      <c r="M28" s="42"/>
    </row>
    <row r="29" spans="1:26">
      <c r="A29" s="42"/>
      <c r="B29" s="42"/>
      <c r="C29" s="42"/>
      <c r="D29" s="42"/>
      <c r="E29" s="42"/>
      <c r="F29" s="42"/>
      <c r="G29" s="42"/>
      <c r="H29" s="42"/>
      <c r="I29" s="42"/>
      <c r="J29" s="42"/>
      <c r="K29" s="42"/>
      <c r="L29" s="42"/>
      <c r="M29" s="42"/>
    </row>
    <row r="30" spans="1:26">
      <c r="A30" s="42"/>
      <c r="B30" s="42"/>
      <c r="C30" s="42"/>
      <c r="D30" s="42"/>
      <c r="E30" s="42"/>
      <c r="F30" s="42"/>
      <c r="G30" s="42"/>
      <c r="H30" s="42"/>
      <c r="I30" s="42"/>
      <c r="J30" s="42"/>
      <c r="K30" s="42"/>
      <c r="L30" s="42"/>
      <c r="M30" s="42"/>
    </row>
    <row r="31" spans="1:26">
      <c r="A31" s="42"/>
      <c r="B31" s="42"/>
      <c r="C31" s="42"/>
      <c r="D31" s="42"/>
      <c r="E31" s="42"/>
      <c r="F31" s="42"/>
      <c r="G31" s="42"/>
      <c r="H31" s="42"/>
      <c r="I31" s="42"/>
      <c r="J31" s="42"/>
      <c r="K31" s="42"/>
      <c r="L31" s="42"/>
      <c r="M31" s="42"/>
    </row>
    <row r="32" spans="1:26">
      <c r="A32" s="42"/>
      <c r="B32" s="42"/>
      <c r="C32" s="42"/>
      <c r="D32" s="42"/>
      <c r="E32" s="42"/>
      <c r="F32" s="42"/>
      <c r="G32" s="42"/>
      <c r="H32" s="42"/>
      <c r="I32" s="42"/>
      <c r="J32" s="42"/>
      <c r="K32" s="42"/>
      <c r="L32" s="42"/>
      <c r="M32" s="42"/>
    </row>
    <row r="33" spans="1:13">
      <c r="A33" s="42"/>
      <c r="B33" s="42"/>
      <c r="C33" s="42"/>
      <c r="D33" s="42"/>
      <c r="E33" s="42"/>
      <c r="F33" s="42"/>
      <c r="G33" s="42"/>
      <c r="H33" s="42"/>
      <c r="I33" s="42"/>
      <c r="J33" s="42"/>
      <c r="K33" s="42"/>
      <c r="L33" s="42"/>
      <c r="M33" s="42"/>
    </row>
    <row r="34" spans="1:13">
      <c r="A34" s="42"/>
      <c r="B34" s="42"/>
      <c r="C34" s="42"/>
      <c r="D34" s="42"/>
      <c r="E34" s="42"/>
      <c r="F34" s="42"/>
      <c r="G34" s="42"/>
      <c r="H34" s="42"/>
      <c r="I34" s="42"/>
      <c r="J34" s="42"/>
      <c r="K34" s="42"/>
      <c r="L34" s="42"/>
      <c r="M34" s="42"/>
    </row>
    <row r="35" spans="1:13">
      <c r="A35" s="42"/>
      <c r="B35" s="42"/>
      <c r="C35" s="42"/>
      <c r="D35" s="42"/>
      <c r="E35" s="42"/>
      <c r="F35" s="42"/>
      <c r="G35" s="42"/>
      <c r="H35" s="42"/>
      <c r="I35" s="42"/>
      <c r="J35" s="42"/>
      <c r="K35" s="42"/>
      <c r="L35" s="42"/>
      <c r="M35" s="42"/>
    </row>
    <row r="36" spans="1:13">
      <c r="A36" s="42"/>
      <c r="B36" s="42"/>
      <c r="C36" s="42"/>
      <c r="D36" s="42"/>
      <c r="E36" s="42"/>
      <c r="F36" s="42"/>
      <c r="G36" s="42"/>
      <c r="H36" s="42"/>
      <c r="I36" s="42"/>
      <c r="J36" s="42"/>
      <c r="K36" s="42"/>
      <c r="L36" s="42"/>
      <c r="M36" s="42"/>
    </row>
    <row r="37" spans="1:13">
      <c r="A37" s="42"/>
      <c r="B37" s="42"/>
      <c r="C37" s="42"/>
      <c r="D37" s="42"/>
      <c r="E37" s="42"/>
      <c r="F37" s="42"/>
      <c r="G37" s="42"/>
      <c r="H37" s="42"/>
      <c r="I37" s="42"/>
      <c r="J37" s="42"/>
      <c r="K37" s="42"/>
      <c r="L37" s="42"/>
      <c r="M37" s="42"/>
    </row>
    <row r="38" spans="1:13">
      <c r="A38" s="42"/>
      <c r="B38" s="42"/>
      <c r="C38" s="42"/>
      <c r="D38" s="42"/>
      <c r="E38" s="42"/>
      <c r="F38" s="42"/>
      <c r="G38" s="42"/>
      <c r="H38" s="42"/>
      <c r="I38" s="42"/>
      <c r="J38" s="42"/>
      <c r="K38" s="42"/>
      <c r="L38" s="42"/>
      <c r="M38" s="42"/>
    </row>
    <row r="39" spans="1:13">
      <c r="A39" s="42"/>
      <c r="B39" s="42"/>
      <c r="C39" s="42"/>
      <c r="D39" s="42"/>
      <c r="E39" s="42"/>
      <c r="F39" s="42"/>
      <c r="G39" s="42"/>
      <c r="H39" s="42"/>
      <c r="I39" s="42"/>
      <c r="J39" s="42"/>
      <c r="K39" s="42"/>
      <c r="L39" s="42"/>
      <c r="M39" s="42"/>
    </row>
    <row r="40" spans="1:13">
      <c r="A40" s="42"/>
      <c r="B40" s="42"/>
      <c r="C40" s="42"/>
      <c r="D40" s="42"/>
      <c r="E40" s="42"/>
      <c r="F40" s="42"/>
      <c r="G40" s="42"/>
      <c r="H40" s="42"/>
      <c r="I40" s="42"/>
      <c r="J40" s="42"/>
      <c r="K40" s="42"/>
      <c r="L40" s="42"/>
      <c r="M40" s="42"/>
    </row>
    <row r="41" spans="1:13">
      <c r="A41" s="42"/>
      <c r="B41" s="42"/>
      <c r="C41" s="42"/>
      <c r="D41" s="42"/>
      <c r="E41" s="42"/>
      <c r="F41" s="42"/>
      <c r="G41" s="42"/>
      <c r="H41" s="42"/>
      <c r="I41" s="42"/>
      <c r="J41" s="42"/>
      <c r="K41" s="42"/>
      <c r="L41" s="42"/>
      <c r="M41" s="42"/>
    </row>
    <row r="42" spans="1:13">
      <c r="A42" s="42"/>
      <c r="B42" s="42"/>
      <c r="C42" s="42"/>
      <c r="D42" s="42"/>
      <c r="E42" s="42"/>
      <c r="F42" s="42"/>
      <c r="G42" s="42"/>
      <c r="H42" s="42"/>
      <c r="I42" s="42"/>
      <c r="J42" s="42"/>
      <c r="K42" s="42"/>
      <c r="L42" s="42"/>
      <c r="M42" s="42"/>
    </row>
    <row r="43" spans="1:13">
      <c r="A43" s="42"/>
      <c r="B43" s="42"/>
      <c r="C43" s="42"/>
      <c r="D43" s="42"/>
      <c r="E43" s="42"/>
      <c r="F43" s="42"/>
      <c r="G43" s="42"/>
      <c r="H43" s="42"/>
      <c r="I43" s="42"/>
      <c r="J43" s="42"/>
      <c r="K43" s="42"/>
      <c r="L43" s="42"/>
      <c r="M43" s="42"/>
    </row>
    <row r="44" spans="1:13">
      <c r="A44" s="42"/>
      <c r="B44" s="42"/>
      <c r="C44" s="42"/>
      <c r="D44" s="42"/>
      <c r="E44" s="42"/>
      <c r="F44" s="42"/>
      <c r="G44" s="42"/>
      <c r="H44" s="42"/>
      <c r="I44" s="42"/>
      <c r="J44" s="42"/>
      <c r="K44" s="42"/>
      <c r="L44" s="42"/>
      <c r="M44" s="42"/>
    </row>
    <row r="45" spans="1:13">
      <c r="A45" s="42"/>
      <c r="B45" s="42"/>
      <c r="C45" s="42"/>
      <c r="D45" s="42"/>
      <c r="E45" s="42"/>
      <c r="F45" s="42"/>
      <c r="G45" s="42"/>
      <c r="H45" s="42"/>
      <c r="I45" s="42"/>
      <c r="J45" s="42"/>
      <c r="K45" s="42"/>
      <c r="L45" s="42"/>
      <c r="M45" s="42"/>
    </row>
    <row r="46" spans="1:13">
      <c r="A46" s="42"/>
      <c r="B46" s="42"/>
      <c r="C46" s="42"/>
      <c r="D46" s="42"/>
      <c r="E46" s="42"/>
      <c r="F46" s="42"/>
      <c r="G46" s="42"/>
      <c r="H46" s="42"/>
      <c r="I46" s="42"/>
      <c r="J46" s="42"/>
      <c r="K46" s="42"/>
      <c r="L46" s="42"/>
      <c r="M46" s="42"/>
    </row>
    <row r="47" spans="1:13">
      <c r="A47" s="42"/>
      <c r="B47" s="42"/>
      <c r="C47" s="42"/>
      <c r="D47" s="42"/>
      <c r="E47" s="42"/>
      <c r="F47" s="42"/>
      <c r="G47" s="42"/>
      <c r="H47" s="42"/>
      <c r="I47" s="42"/>
      <c r="J47" s="42"/>
      <c r="K47" s="42"/>
      <c r="L47" s="42"/>
      <c r="M47" s="42"/>
    </row>
    <row r="48" spans="1:13">
      <c r="A48" s="42"/>
      <c r="B48" s="42"/>
      <c r="C48" s="42"/>
      <c r="D48" s="42"/>
      <c r="E48" s="42"/>
      <c r="F48" s="42"/>
      <c r="G48" s="42"/>
      <c r="H48" s="42"/>
      <c r="I48" s="42"/>
      <c r="J48" s="42"/>
      <c r="K48" s="42"/>
      <c r="L48" s="42"/>
      <c r="M48" s="42"/>
    </row>
    <row r="49" spans="1:14">
      <c r="A49" s="42"/>
      <c r="B49" s="42"/>
      <c r="C49" s="42"/>
      <c r="D49" s="42"/>
      <c r="E49" s="42"/>
      <c r="F49" s="42"/>
      <c r="G49" s="42"/>
      <c r="H49" s="42"/>
      <c r="I49" s="42"/>
      <c r="J49" s="42"/>
      <c r="K49" s="42"/>
      <c r="L49" s="42"/>
      <c r="M49" s="42"/>
    </row>
    <row r="50" spans="1:14">
      <c r="A50" s="42"/>
      <c r="B50" s="42"/>
      <c r="C50" s="42"/>
      <c r="D50" s="42"/>
      <c r="E50" s="42"/>
      <c r="F50" s="42"/>
      <c r="G50" s="42"/>
      <c r="H50" s="42"/>
      <c r="I50" s="42"/>
      <c r="J50" s="42"/>
      <c r="K50" s="42"/>
      <c r="L50" s="42"/>
      <c r="M50" s="42"/>
    </row>
    <row r="51" spans="1:14">
      <c r="A51" s="42"/>
      <c r="B51" s="42"/>
      <c r="C51" s="42"/>
      <c r="D51" s="42"/>
      <c r="E51" s="42"/>
      <c r="F51" s="42"/>
      <c r="G51" s="42"/>
      <c r="H51" s="42"/>
      <c r="I51" s="42"/>
      <c r="J51" s="42"/>
      <c r="K51" s="42"/>
      <c r="L51" s="42"/>
      <c r="M51" s="42"/>
    </row>
    <row r="52" spans="1:14">
      <c r="A52" s="42"/>
      <c r="B52" s="42"/>
      <c r="C52" s="42"/>
      <c r="D52" s="42"/>
      <c r="E52" s="42"/>
      <c r="F52" s="42"/>
      <c r="G52" s="42"/>
      <c r="H52" s="42"/>
      <c r="I52" s="42"/>
      <c r="J52" s="42"/>
      <c r="K52" s="42"/>
      <c r="L52" s="42"/>
      <c r="M52" s="42"/>
    </row>
    <row r="53" spans="1:14">
      <c r="A53" s="42"/>
      <c r="B53" s="42"/>
      <c r="C53" s="42"/>
      <c r="D53" s="42"/>
      <c r="E53" s="42"/>
      <c r="F53" s="42"/>
      <c r="G53" s="42"/>
      <c r="H53" s="42"/>
      <c r="I53" s="42"/>
      <c r="J53" s="42"/>
      <c r="K53" s="42"/>
      <c r="L53" s="42"/>
      <c r="M53" s="42"/>
    </row>
    <row r="54" spans="1:14">
      <c r="A54" s="42"/>
      <c r="B54" s="42"/>
      <c r="C54" s="42"/>
      <c r="D54" s="42"/>
      <c r="E54" s="42"/>
      <c r="F54" s="42"/>
      <c r="G54" s="42"/>
      <c r="H54" s="42"/>
      <c r="I54" s="42"/>
      <c r="J54" s="42"/>
      <c r="K54" s="42"/>
      <c r="L54" s="42"/>
      <c r="M54" s="42"/>
    </row>
    <row r="55" spans="1:14">
      <c r="A55" s="42"/>
      <c r="B55" s="42"/>
      <c r="C55" s="42"/>
      <c r="D55" s="42"/>
      <c r="E55" s="42"/>
      <c r="F55" s="42"/>
      <c r="G55" s="42"/>
      <c r="H55" s="42"/>
      <c r="I55" s="42"/>
      <c r="J55" s="42"/>
      <c r="K55" s="42"/>
      <c r="L55" s="42"/>
      <c r="M55" s="42"/>
    </row>
    <row r="56" spans="1:14">
      <c r="A56" s="42"/>
      <c r="B56" s="42"/>
      <c r="C56" s="42"/>
      <c r="D56" s="42"/>
      <c r="E56" s="42"/>
      <c r="F56" s="42"/>
      <c r="G56" s="42"/>
      <c r="H56" s="42"/>
      <c r="I56" s="42"/>
      <c r="J56" s="42"/>
      <c r="K56" s="42"/>
      <c r="L56" s="42"/>
      <c r="M56" s="42"/>
    </row>
    <row r="57" spans="1:14">
      <c r="A57" s="42"/>
      <c r="B57" s="42"/>
      <c r="C57" s="42"/>
      <c r="D57" s="42"/>
      <c r="E57" s="42"/>
      <c r="F57" s="42"/>
      <c r="G57" s="42"/>
      <c r="H57" s="42"/>
      <c r="I57" s="42"/>
      <c r="J57" s="42"/>
      <c r="K57" s="42"/>
      <c r="L57" s="42"/>
      <c r="M57" s="42"/>
    </row>
    <row r="58" spans="1:14">
      <c r="A58" s="42"/>
      <c r="B58" s="42"/>
      <c r="C58" s="42"/>
      <c r="D58" s="42"/>
      <c r="E58" s="42"/>
      <c r="F58" s="42"/>
      <c r="G58" s="42"/>
      <c r="H58" s="42"/>
      <c r="I58" s="42"/>
      <c r="J58" s="42"/>
      <c r="K58" s="42"/>
      <c r="L58" s="42"/>
      <c r="M58" s="42"/>
    </row>
    <row r="59" spans="1:14">
      <c r="A59" s="42"/>
      <c r="B59" s="42"/>
      <c r="C59" s="42"/>
      <c r="D59" s="42"/>
      <c r="E59" s="42"/>
      <c r="F59" s="42"/>
      <c r="G59" s="42"/>
      <c r="H59" s="42"/>
      <c r="I59" s="42"/>
      <c r="J59" s="42"/>
      <c r="K59" s="42"/>
      <c r="L59" s="42"/>
      <c r="M59" s="42"/>
    </row>
    <row r="60" spans="1:14">
      <c r="A60" s="42"/>
      <c r="B60" s="42"/>
      <c r="C60" s="42"/>
      <c r="D60" s="42"/>
      <c r="E60" s="42"/>
      <c r="F60" s="42"/>
      <c r="G60" s="42"/>
      <c r="H60" s="42"/>
      <c r="I60" s="42"/>
      <c r="J60" s="42"/>
      <c r="K60" s="42"/>
      <c r="L60" s="42"/>
      <c r="M60" s="42"/>
    </row>
    <row r="61" spans="1:14">
      <c r="A61" s="42"/>
      <c r="B61" s="42"/>
      <c r="C61" s="42"/>
      <c r="D61" s="42"/>
      <c r="E61" s="42"/>
      <c r="F61" s="42"/>
      <c r="G61" s="42"/>
      <c r="H61" s="502"/>
      <c r="I61" s="502" t="s">
        <v>449</v>
      </c>
      <c r="J61" s="502"/>
      <c r="K61" s="47"/>
      <c r="L61" s="42"/>
      <c r="M61" s="503"/>
      <c r="N61" s="504"/>
    </row>
  </sheetData>
  <mergeCells count="25">
    <mergeCell ref="O4:P4"/>
    <mergeCell ref="B8:H8"/>
    <mergeCell ref="I8:L8"/>
    <mergeCell ref="B9:H9"/>
    <mergeCell ref="I9:L9"/>
    <mergeCell ref="O9:P9"/>
    <mergeCell ref="M10:M12"/>
    <mergeCell ref="B19:C19"/>
    <mergeCell ref="B20:C20"/>
    <mergeCell ref="E20:H20"/>
    <mergeCell ref="I20:J20"/>
    <mergeCell ref="K20:L20"/>
    <mergeCell ref="B10:C10"/>
    <mergeCell ref="D10:D12"/>
    <mergeCell ref="E10:H10"/>
    <mergeCell ref="I10:I12"/>
    <mergeCell ref="J10:J12"/>
    <mergeCell ref="K10:K12"/>
    <mergeCell ref="M22:M23"/>
    <mergeCell ref="B21:C21"/>
    <mergeCell ref="E21:H21"/>
    <mergeCell ref="I21:J21"/>
    <mergeCell ref="K21:L21"/>
    <mergeCell ref="B22:H23"/>
    <mergeCell ref="I22:L23"/>
  </mergeCells>
  <conditionalFormatting sqref="P6:P8 P10:P11">
    <cfRule type="cellIs" dxfId="13" priority="1" stopIfTrue="1" operator="equal">
      <formula>""</formula>
    </cfRule>
  </conditionalFormatting>
  <dataValidations disablePrompts="1" count="1">
    <dataValidation errorStyle="warning" allowBlank="1" showInputMessage="1" showErrorMessage="1" errorTitle="DD" error="AAAS" promptTitle="                 PRECAUCION !" prompt="Este archivo y la información contenida son propiedad de Enrique Zumarán R._x000a_Su uso sin previa autorización está prohibida._x000a_Cualquier adaptación o Modificación de la Información o del archivo será a solo riesgo y sin ninguna responsabilidad legal por E.Z._x000a_" sqref="N61 JJ61 TF61 ADB61 AMX61 AWT61 BGP61 BQL61 CAH61 CKD61 CTZ61 DDV61 DNR61 DXN61 EHJ61 ERF61 FBB61 FKX61 FUT61 GEP61 GOL61 GYH61 HID61 HRZ61 IBV61 ILR61 IVN61 JFJ61 JPF61 JZB61 KIX61 KST61 LCP61 LML61 LWH61 MGD61 MPZ61 MZV61 NJR61 NTN61 ODJ61 ONF61 OXB61 PGX61 PQT61 QAP61 QKL61 QUH61 RED61 RNZ61 RXV61 SHR61 SRN61 TBJ61 TLF61 TVB61 UEX61 UOT61 UYP61 VIL61 VSH61 WCD61 WLZ61 WVV61 N65597 JJ65597 TF65597 ADB65597 AMX65597 AWT65597 BGP65597 BQL65597 CAH65597 CKD65597 CTZ65597 DDV65597 DNR65597 DXN65597 EHJ65597 ERF65597 FBB65597 FKX65597 FUT65597 GEP65597 GOL65597 GYH65597 HID65597 HRZ65597 IBV65597 ILR65597 IVN65597 JFJ65597 JPF65597 JZB65597 KIX65597 KST65597 LCP65597 LML65597 LWH65597 MGD65597 MPZ65597 MZV65597 NJR65597 NTN65597 ODJ65597 ONF65597 OXB65597 PGX65597 PQT65597 QAP65597 QKL65597 QUH65597 RED65597 RNZ65597 RXV65597 SHR65597 SRN65597 TBJ65597 TLF65597 TVB65597 UEX65597 UOT65597 UYP65597 VIL65597 VSH65597 WCD65597 WLZ65597 WVV65597 N131133 JJ131133 TF131133 ADB131133 AMX131133 AWT131133 BGP131133 BQL131133 CAH131133 CKD131133 CTZ131133 DDV131133 DNR131133 DXN131133 EHJ131133 ERF131133 FBB131133 FKX131133 FUT131133 GEP131133 GOL131133 GYH131133 HID131133 HRZ131133 IBV131133 ILR131133 IVN131133 JFJ131133 JPF131133 JZB131133 KIX131133 KST131133 LCP131133 LML131133 LWH131133 MGD131133 MPZ131133 MZV131133 NJR131133 NTN131133 ODJ131133 ONF131133 OXB131133 PGX131133 PQT131133 QAP131133 QKL131133 QUH131133 RED131133 RNZ131133 RXV131133 SHR131133 SRN131133 TBJ131133 TLF131133 TVB131133 UEX131133 UOT131133 UYP131133 VIL131133 VSH131133 WCD131133 WLZ131133 WVV131133 N196669 JJ196669 TF196669 ADB196669 AMX196669 AWT196669 BGP196669 BQL196669 CAH196669 CKD196669 CTZ196669 DDV196669 DNR196669 DXN196669 EHJ196669 ERF196669 FBB196669 FKX196669 FUT196669 GEP196669 GOL196669 GYH196669 HID196669 HRZ196669 IBV196669 ILR196669 IVN196669 JFJ196669 JPF196669 JZB196669 KIX196669 KST196669 LCP196669 LML196669 LWH196669 MGD196669 MPZ196669 MZV196669 NJR196669 NTN196669 ODJ196669 ONF196669 OXB196669 PGX196669 PQT196669 QAP196669 QKL196669 QUH196669 RED196669 RNZ196669 RXV196669 SHR196669 SRN196669 TBJ196669 TLF196669 TVB196669 UEX196669 UOT196669 UYP196669 VIL196669 VSH196669 WCD196669 WLZ196669 WVV196669 N262205 JJ262205 TF262205 ADB262205 AMX262205 AWT262205 BGP262205 BQL262205 CAH262205 CKD262205 CTZ262205 DDV262205 DNR262205 DXN262205 EHJ262205 ERF262205 FBB262205 FKX262205 FUT262205 GEP262205 GOL262205 GYH262205 HID262205 HRZ262205 IBV262205 ILR262205 IVN262205 JFJ262205 JPF262205 JZB262205 KIX262205 KST262205 LCP262205 LML262205 LWH262205 MGD262205 MPZ262205 MZV262205 NJR262205 NTN262205 ODJ262205 ONF262205 OXB262205 PGX262205 PQT262205 QAP262205 QKL262205 QUH262205 RED262205 RNZ262205 RXV262205 SHR262205 SRN262205 TBJ262205 TLF262205 TVB262205 UEX262205 UOT262205 UYP262205 VIL262205 VSH262205 WCD262205 WLZ262205 WVV262205 N327741 JJ327741 TF327741 ADB327741 AMX327741 AWT327741 BGP327741 BQL327741 CAH327741 CKD327741 CTZ327741 DDV327741 DNR327741 DXN327741 EHJ327741 ERF327741 FBB327741 FKX327741 FUT327741 GEP327741 GOL327741 GYH327741 HID327741 HRZ327741 IBV327741 ILR327741 IVN327741 JFJ327741 JPF327741 JZB327741 KIX327741 KST327741 LCP327741 LML327741 LWH327741 MGD327741 MPZ327741 MZV327741 NJR327741 NTN327741 ODJ327741 ONF327741 OXB327741 PGX327741 PQT327741 QAP327741 QKL327741 QUH327741 RED327741 RNZ327741 RXV327741 SHR327741 SRN327741 TBJ327741 TLF327741 TVB327741 UEX327741 UOT327741 UYP327741 VIL327741 VSH327741 WCD327741 WLZ327741 WVV327741 N393277 JJ393277 TF393277 ADB393277 AMX393277 AWT393277 BGP393277 BQL393277 CAH393277 CKD393277 CTZ393277 DDV393277 DNR393277 DXN393277 EHJ393277 ERF393277 FBB393277 FKX393277 FUT393277 GEP393277 GOL393277 GYH393277 HID393277 HRZ393277 IBV393277 ILR393277 IVN393277 JFJ393277 JPF393277 JZB393277 KIX393277 KST393277 LCP393277 LML393277 LWH393277 MGD393277 MPZ393277 MZV393277 NJR393277 NTN393277 ODJ393277 ONF393277 OXB393277 PGX393277 PQT393277 QAP393277 QKL393277 QUH393277 RED393277 RNZ393277 RXV393277 SHR393277 SRN393277 TBJ393277 TLF393277 TVB393277 UEX393277 UOT393277 UYP393277 VIL393277 VSH393277 WCD393277 WLZ393277 WVV393277 N458813 JJ458813 TF458813 ADB458813 AMX458813 AWT458813 BGP458813 BQL458813 CAH458813 CKD458813 CTZ458813 DDV458813 DNR458813 DXN458813 EHJ458813 ERF458813 FBB458813 FKX458813 FUT458813 GEP458813 GOL458813 GYH458813 HID458813 HRZ458813 IBV458813 ILR458813 IVN458813 JFJ458813 JPF458813 JZB458813 KIX458813 KST458813 LCP458813 LML458813 LWH458813 MGD458813 MPZ458813 MZV458813 NJR458813 NTN458813 ODJ458813 ONF458813 OXB458813 PGX458813 PQT458813 QAP458813 QKL458813 QUH458813 RED458813 RNZ458813 RXV458813 SHR458813 SRN458813 TBJ458813 TLF458813 TVB458813 UEX458813 UOT458813 UYP458813 VIL458813 VSH458813 WCD458813 WLZ458813 WVV458813 N524349 JJ524349 TF524349 ADB524349 AMX524349 AWT524349 BGP524349 BQL524349 CAH524349 CKD524349 CTZ524349 DDV524349 DNR524349 DXN524349 EHJ524349 ERF524349 FBB524349 FKX524349 FUT524349 GEP524349 GOL524349 GYH524349 HID524349 HRZ524349 IBV524349 ILR524349 IVN524349 JFJ524349 JPF524349 JZB524349 KIX524349 KST524349 LCP524349 LML524349 LWH524349 MGD524349 MPZ524349 MZV524349 NJR524349 NTN524349 ODJ524349 ONF524349 OXB524349 PGX524349 PQT524349 QAP524349 QKL524349 QUH524349 RED524349 RNZ524349 RXV524349 SHR524349 SRN524349 TBJ524349 TLF524349 TVB524349 UEX524349 UOT524349 UYP524349 VIL524349 VSH524349 WCD524349 WLZ524349 WVV524349 N589885 JJ589885 TF589885 ADB589885 AMX589885 AWT589885 BGP589885 BQL589885 CAH589885 CKD589885 CTZ589885 DDV589885 DNR589885 DXN589885 EHJ589885 ERF589885 FBB589885 FKX589885 FUT589885 GEP589885 GOL589885 GYH589885 HID589885 HRZ589885 IBV589885 ILR589885 IVN589885 JFJ589885 JPF589885 JZB589885 KIX589885 KST589885 LCP589885 LML589885 LWH589885 MGD589885 MPZ589885 MZV589885 NJR589885 NTN589885 ODJ589885 ONF589885 OXB589885 PGX589885 PQT589885 QAP589885 QKL589885 QUH589885 RED589885 RNZ589885 RXV589885 SHR589885 SRN589885 TBJ589885 TLF589885 TVB589885 UEX589885 UOT589885 UYP589885 VIL589885 VSH589885 WCD589885 WLZ589885 WVV589885 N655421 JJ655421 TF655421 ADB655421 AMX655421 AWT655421 BGP655421 BQL655421 CAH655421 CKD655421 CTZ655421 DDV655421 DNR655421 DXN655421 EHJ655421 ERF655421 FBB655421 FKX655421 FUT655421 GEP655421 GOL655421 GYH655421 HID655421 HRZ655421 IBV655421 ILR655421 IVN655421 JFJ655421 JPF655421 JZB655421 KIX655421 KST655421 LCP655421 LML655421 LWH655421 MGD655421 MPZ655421 MZV655421 NJR655421 NTN655421 ODJ655421 ONF655421 OXB655421 PGX655421 PQT655421 QAP655421 QKL655421 QUH655421 RED655421 RNZ655421 RXV655421 SHR655421 SRN655421 TBJ655421 TLF655421 TVB655421 UEX655421 UOT655421 UYP655421 VIL655421 VSH655421 WCD655421 WLZ655421 WVV655421 N720957 JJ720957 TF720957 ADB720957 AMX720957 AWT720957 BGP720957 BQL720957 CAH720957 CKD720957 CTZ720957 DDV720957 DNR720957 DXN720957 EHJ720957 ERF720957 FBB720957 FKX720957 FUT720957 GEP720957 GOL720957 GYH720957 HID720957 HRZ720957 IBV720957 ILR720957 IVN720957 JFJ720957 JPF720957 JZB720957 KIX720957 KST720957 LCP720957 LML720957 LWH720957 MGD720957 MPZ720957 MZV720957 NJR720957 NTN720957 ODJ720957 ONF720957 OXB720957 PGX720957 PQT720957 QAP720957 QKL720957 QUH720957 RED720957 RNZ720957 RXV720957 SHR720957 SRN720957 TBJ720957 TLF720957 TVB720957 UEX720957 UOT720957 UYP720957 VIL720957 VSH720957 WCD720957 WLZ720957 WVV720957 N786493 JJ786493 TF786493 ADB786493 AMX786493 AWT786493 BGP786493 BQL786493 CAH786493 CKD786493 CTZ786493 DDV786493 DNR786493 DXN786493 EHJ786493 ERF786493 FBB786493 FKX786493 FUT786493 GEP786493 GOL786493 GYH786493 HID786493 HRZ786493 IBV786493 ILR786493 IVN786493 JFJ786493 JPF786493 JZB786493 KIX786493 KST786493 LCP786493 LML786493 LWH786493 MGD786493 MPZ786493 MZV786493 NJR786493 NTN786493 ODJ786493 ONF786493 OXB786493 PGX786493 PQT786493 QAP786493 QKL786493 QUH786493 RED786493 RNZ786493 RXV786493 SHR786493 SRN786493 TBJ786493 TLF786493 TVB786493 UEX786493 UOT786493 UYP786493 VIL786493 VSH786493 WCD786493 WLZ786493 WVV786493 N852029 JJ852029 TF852029 ADB852029 AMX852029 AWT852029 BGP852029 BQL852029 CAH852029 CKD852029 CTZ852029 DDV852029 DNR852029 DXN852029 EHJ852029 ERF852029 FBB852029 FKX852029 FUT852029 GEP852029 GOL852029 GYH852029 HID852029 HRZ852029 IBV852029 ILR852029 IVN852029 JFJ852029 JPF852029 JZB852029 KIX852029 KST852029 LCP852029 LML852029 LWH852029 MGD852029 MPZ852029 MZV852029 NJR852029 NTN852029 ODJ852029 ONF852029 OXB852029 PGX852029 PQT852029 QAP852029 QKL852029 QUH852029 RED852029 RNZ852029 RXV852029 SHR852029 SRN852029 TBJ852029 TLF852029 TVB852029 UEX852029 UOT852029 UYP852029 VIL852029 VSH852029 WCD852029 WLZ852029 WVV852029 N917565 JJ917565 TF917565 ADB917565 AMX917565 AWT917565 BGP917565 BQL917565 CAH917565 CKD917565 CTZ917565 DDV917565 DNR917565 DXN917565 EHJ917565 ERF917565 FBB917565 FKX917565 FUT917565 GEP917565 GOL917565 GYH917565 HID917565 HRZ917565 IBV917565 ILR917565 IVN917565 JFJ917565 JPF917565 JZB917565 KIX917565 KST917565 LCP917565 LML917565 LWH917565 MGD917565 MPZ917565 MZV917565 NJR917565 NTN917565 ODJ917565 ONF917565 OXB917565 PGX917565 PQT917565 QAP917565 QKL917565 QUH917565 RED917565 RNZ917565 RXV917565 SHR917565 SRN917565 TBJ917565 TLF917565 TVB917565 UEX917565 UOT917565 UYP917565 VIL917565 VSH917565 WCD917565 WLZ917565 WVV917565 N983101 JJ983101 TF983101 ADB983101 AMX983101 AWT983101 BGP983101 BQL983101 CAH983101 CKD983101 CTZ983101 DDV983101 DNR983101 DXN983101 EHJ983101 ERF983101 FBB983101 FKX983101 FUT983101 GEP983101 GOL983101 GYH983101 HID983101 HRZ983101 IBV983101 ILR983101 IVN983101 JFJ983101 JPF983101 JZB983101 KIX983101 KST983101 LCP983101 LML983101 LWH983101 MGD983101 MPZ983101 MZV983101 NJR983101 NTN983101 ODJ983101 ONF983101 OXB983101 PGX983101 PQT983101 QAP983101 QKL983101 QUH983101 RED983101 RNZ983101 RXV983101 SHR983101 SRN983101 TBJ983101 TLF983101 TVB983101 UEX983101 UOT983101 UYP983101 VIL983101 VSH983101 WCD983101 WLZ983101 WVV983101" xr:uid="{00000000-0002-0000-0400-000000000000}"/>
  </dataValidations>
  <printOptions horizontalCentered="1" verticalCentered="1"/>
  <pageMargins left="0.75" right="0.75" top="1" bottom="1" header="0" footer="0"/>
  <pageSetup paperSize="9" scale="85"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4">
    <tabColor rgb="FF00B050"/>
    <pageSetUpPr fitToPage="1"/>
  </sheetPr>
  <dimension ref="A1:BK318"/>
  <sheetViews>
    <sheetView tabSelected="1" view="pageBreakPreview" topLeftCell="A34" zoomScale="85" zoomScaleNormal="85" zoomScaleSheetLayoutView="85" zoomScalePageLayoutView="83" workbookViewId="0">
      <selection activeCell="C47" sqref="C47"/>
    </sheetView>
  </sheetViews>
  <sheetFormatPr baseColWidth="10" defaultRowHeight="14.4"/>
  <cols>
    <col min="1" max="1" width="13.44140625" customWidth="1"/>
    <col min="2" max="2" width="17.5546875" customWidth="1"/>
    <col min="3" max="6" width="12.6640625" customWidth="1"/>
    <col min="7" max="7" width="8.88671875" customWidth="1"/>
    <col min="8" max="8" width="9.5546875" customWidth="1"/>
    <col min="9" max="9" width="12.6640625" customWidth="1"/>
    <col min="10" max="10" width="14.44140625" customWidth="1"/>
    <col min="11" max="11" width="12.6640625" bestFit="1" customWidth="1"/>
    <col min="12" max="12" width="16.88671875" customWidth="1"/>
    <col min="13" max="13" width="4.5546875" customWidth="1"/>
    <col min="14" max="14" width="4.33203125" customWidth="1"/>
    <col min="15" max="15" width="10.33203125" customWidth="1"/>
    <col min="16" max="16" width="9.88671875" customWidth="1"/>
    <col min="17" max="17" width="11.88671875" customWidth="1"/>
    <col min="18" max="18" width="10.6640625" customWidth="1"/>
    <col min="19" max="19" width="10.5546875" customWidth="1"/>
    <col min="20" max="20" width="13.6640625" customWidth="1"/>
    <col min="24" max="25" width="6.6640625" customWidth="1"/>
    <col min="26" max="26" width="8.109375" customWidth="1"/>
    <col min="27" max="27" width="8" customWidth="1"/>
    <col min="28" max="28" width="8.109375" customWidth="1"/>
    <col min="29" max="30" width="9.6640625" customWidth="1"/>
    <col min="31" max="46" width="6.6640625" customWidth="1"/>
    <col min="48" max="48" width="19.44140625" bestFit="1" customWidth="1"/>
    <col min="53" max="54" width="12.5546875" bestFit="1" customWidth="1"/>
  </cols>
  <sheetData>
    <row r="1" spans="1:59" ht="16.2" customHeight="1">
      <c r="A1" s="865"/>
      <c r="B1" s="813" t="s">
        <v>545</v>
      </c>
      <c r="C1" s="866"/>
      <c r="D1" s="867"/>
      <c r="E1" s="871"/>
      <c r="F1" s="871"/>
      <c r="G1" s="814"/>
      <c r="H1" s="814"/>
      <c r="I1" s="814"/>
      <c r="J1" s="872" t="s">
        <v>546</v>
      </c>
      <c r="K1" s="814"/>
      <c r="L1" s="815" t="s">
        <v>547</v>
      </c>
      <c r="O1" s="878" t="s">
        <v>24</v>
      </c>
      <c r="P1" s="878"/>
      <c r="Q1" s="879" t="str">
        <f>AB11</f>
        <v>A-2-6(0)</v>
      </c>
      <c r="R1" s="919"/>
      <c r="T1" s="943" t="s">
        <v>20</v>
      </c>
      <c r="U1" s="944"/>
      <c r="V1" s="945">
        <f>+J144</f>
        <v>192.23469140394531</v>
      </c>
      <c r="W1" s="917"/>
    </row>
    <row r="2" spans="1:59" ht="16.2" customHeight="1">
      <c r="A2" s="868"/>
      <c r="B2" s="816" t="s">
        <v>548</v>
      </c>
      <c r="C2" s="869"/>
      <c r="D2" s="890"/>
      <c r="E2" s="891"/>
      <c r="F2" s="891"/>
      <c r="G2" s="891"/>
      <c r="H2" s="891"/>
      <c r="I2" s="891"/>
      <c r="J2" s="873" t="s">
        <v>549</v>
      </c>
      <c r="K2" s="846"/>
      <c r="L2" s="817">
        <v>3</v>
      </c>
      <c r="O2" s="878" t="s">
        <v>26</v>
      </c>
      <c r="P2" s="878"/>
      <c r="Q2" s="880" t="str">
        <f>AC10</f>
        <v/>
      </c>
      <c r="R2" s="920"/>
      <c r="T2" s="878" t="s">
        <v>22</v>
      </c>
      <c r="U2" s="946"/>
      <c r="V2" s="947">
        <f>+L144</f>
        <v>2.7454763857021636</v>
      </c>
      <c r="W2" s="918"/>
      <c r="Y2" s="887" t="s">
        <v>340</v>
      </c>
      <c r="Z2" s="887"/>
      <c r="AA2" s="888" t="e">
        <f>#REF!</f>
        <v>#REF!</v>
      </c>
      <c r="AB2" s="889"/>
    </row>
    <row r="3" spans="1:59" ht="16.2" customHeight="1">
      <c r="A3" s="868"/>
      <c r="B3" s="816" t="s">
        <v>718</v>
      </c>
      <c r="C3" s="869"/>
      <c r="D3" s="890"/>
      <c r="E3" s="890"/>
      <c r="F3" s="890"/>
      <c r="G3" s="846"/>
      <c r="H3" s="846"/>
      <c r="I3" s="846"/>
      <c r="J3" s="873" t="s">
        <v>84</v>
      </c>
      <c r="K3" s="844"/>
      <c r="L3" s="823">
        <v>45658</v>
      </c>
    </row>
    <row r="4" spans="1:59" ht="16.2" customHeight="1">
      <c r="A4" s="870"/>
      <c r="B4" s="818"/>
      <c r="C4" s="818"/>
      <c r="D4" s="818"/>
      <c r="E4" s="818"/>
      <c r="F4" s="818"/>
      <c r="G4" s="818"/>
      <c r="H4" s="818"/>
      <c r="I4" s="818"/>
      <c r="J4" s="874" t="s">
        <v>550</v>
      </c>
      <c r="K4" s="818"/>
      <c r="L4" s="819" t="s">
        <v>551</v>
      </c>
      <c r="O4" s="1354" t="s">
        <v>453</v>
      </c>
      <c r="P4" s="1355"/>
      <c r="Q4" s="1355"/>
      <c r="R4" s="1355"/>
      <c r="S4" s="1356"/>
      <c r="U4" s="1354" t="s">
        <v>167</v>
      </c>
      <c r="V4" s="1355"/>
      <c r="W4" s="1355"/>
      <c r="X4" s="1356"/>
      <c r="Y4" s="515"/>
      <c r="Z4" s="1499" t="s">
        <v>525</v>
      </c>
      <c r="AA4" s="1499"/>
      <c r="AB4" s="1499"/>
      <c r="AC4" s="1499"/>
      <c r="AD4" s="1499"/>
      <c r="AE4" s="1499"/>
      <c r="AF4" s="1499"/>
      <c r="AG4" s="1499"/>
      <c r="AH4" s="1499"/>
      <c r="AI4" s="1499"/>
      <c r="AJ4" s="1499"/>
    </row>
    <row r="5" spans="1:59" ht="18" customHeight="1">
      <c r="A5" s="877" t="s">
        <v>552</v>
      </c>
      <c r="B5" s="826"/>
      <c r="C5" s="962" t="s">
        <v>553</v>
      </c>
      <c r="D5" s="827"/>
      <c r="E5" s="828"/>
      <c r="F5" s="829"/>
      <c r="G5" s="829"/>
      <c r="H5" s="838" t="s">
        <v>554</v>
      </c>
      <c r="I5" s="830"/>
      <c r="J5" s="960" t="s">
        <v>716</v>
      </c>
      <c r="K5" s="831"/>
      <c r="L5" s="832"/>
      <c r="O5" s="157">
        <f>0.9*(Q5-8)</f>
        <v>-7.2</v>
      </c>
      <c r="P5" s="157"/>
      <c r="Q5" s="157">
        <v>0</v>
      </c>
      <c r="R5" s="508"/>
      <c r="S5" s="508"/>
      <c r="Z5" s="1504" t="s">
        <v>532</v>
      </c>
      <c r="AA5" s="1504"/>
      <c r="AB5" s="1504"/>
      <c r="AC5" s="1504"/>
      <c r="AD5" s="1504" t="s">
        <v>489</v>
      </c>
      <c r="AE5" s="1504"/>
      <c r="AF5" s="1504"/>
      <c r="AG5" s="1504"/>
      <c r="AH5" s="1504"/>
      <c r="AI5" s="1504"/>
      <c r="AJ5" s="1504"/>
    </row>
    <row r="6" spans="1:59" ht="18" customHeight="1">
      <c r="A6" s="859" t="s">
        <v>555</v>
      </c>
      <c r="B6" s="833"/>
      <c r="C6" s="963" t="s">
        <v>580</v>
      </c>
      <c r="D6" s="821"/>
      <c r="E6" s="834"/>
      <c r="F6" s="835"/>
      <c r="G6" s="835"/>
      <c r="H6" s="841" t="s">
        <v>556</v>
      </c>
      <c r="I6" s="824"/>
      <c r="J6" s="961" t="s">
        <v>715</v>
      </c>
      <c r="K6" s="822"/>
      <c r="L6" s="847"/>
      <c r="O6" s="157">
        <f>0.9*(Q6-8)</f>
        <v>15.732000000000001</v>
      </c>
      <c r="P6" s="157"/>
      <c r="Q6" s="157">
        <v>25.48</v>
      </c>
      <c r="R6" s="508">
        <f>IF(0.73*(Q6-20)&lt;0,0,0.73*(Q6-20))</f>
        <v>4.0004</v>
      </c>
      <c r="S6" s="508"/>
      <c r="U6" s="52">
        <v>40</v>
      </c>
      <c r="V6" s="74">
        <v>0</v>
      </c>
      <c r="W6" s="52">
        <v>40</v>
      </c>
      <c r="X6" s="74">
        <f>W6-30</f>
        <v>10</v>
      </c>
      <c r="Z6" s="1500" t="s">
        <v>528</v>
      </c>
      <c r="AA6" s="1500"/>
      <c r="AB6" s="1500" t="str">
        <f>'SUCS N° 01'!P43</f>
        <v xml:space="preserve"> SM</v>
      </c>
      <c r="AC6" s="1500"/>
      <c r="AD6" s="1500" t="str">
        <f>'SUCS N° 01'!R43</f>
        <v>Arena limosa con grava</v>
      </c>
      <c r="AE6" s="1500"/>
      <c r="AF6" s="1500"/>
      <c r="AG6" s="1500"/>
      <c r="AH6" s="1500"/>
      <c r="AI6" s="1500"/>
      <c r="AJ6" s="1500"/>
    </row>
    <row r="7" spans="1:59" ht="18" customHeight="1">
      <c r="A7" s="859" t="s">
        <v>557</v>
      </c>
      <c r="B7" s="833"/>
      <c r="C7" s="963" t="s">
        <v>589</v>
      </c>
      <c r="D7" s="836"/>
      <c r="E7" s="836"/>
      <c r="F7" s="837"/>
      <c r="G7" s="837"/>
      <c r="H7" s="841" t="s">
        <v>102</v>
      </c>
      <c r="I7" s="825"/>
      <c r="J7" s="958">
        <f>K12</f>
        <v>46122</v>
      </c>
      <c r="K7" s="820"/>
      <c r="L7" s="848"/>
      <c r="O7" s="157">
        <f>0.9*(Q7-8)</f>
        <v>82.8</v>
      </c>
      <c r="P7" s="157"/>
      <c r="Q7" s="157">
        <v>100</v>
      </c>
      <c r="R7" s="508">
        <f>IF(0.73*(Q7-20)&lt;0,0,0.73*(Q7-20))</f>
        <v>58.4</v>
      </c>
      <c r="S7" s="508"/>
      <c r="U7" s="52">
        <v>40</v>
      </c>
      <c r="V7" s="74">
        <v>70</v>
      </c>
      <c r="W7" s="52">
        <v>100</v>
      </c>
      <c r="X7" s="74">
        <f>W7-30</f>
        <v>70</v>
      </c>
      <c r="Z7" s="1505" t="s">
        <v>529</v>
      </c>
      <c r="AA7" s="1505"/>
      <c r="AB7" s="1507" t="str">
        <f>'SUCS N° 02'!E107</f>
        <v xml:space="preserve">       SC       </v>
      </c>
      <c r="AC7" s="1507"/>
      <c r="AD7" s="1505" t="str">
        <f>'SUCS N° 02'!F107</f>
        <v xml:space="preserve">       Arena arcillosa con grava       </v>
      </c>
      <c r="AE7" s="1505"/>
      <c r="AF7" s="1505"/>
      <c r="AG7" s="1505"/>
      <c r="AH7" s="1505"/>
      <c r="AI7" s="1505"/>
      <c r="AJ7" s="1505"/>
    </row>
    <row r="8" spans="1:59" ht="18" customHeight="1">
      <c r="A8" s="859" t="s">
        <v>558</v>
      </c>
      <c r="B8" s="833"/>
      <c r="C8" s="963" t="s">
        <v>717</v>
      </c>
      <c r="D8" s="850"/>
      <c r="E8" s="850"/>
      <c r="F8" s="851"/>
      <c r="G8" s="851"/>
      <c r="H8" s="841" t="s">
        <v>5</v>
      </c>
      <c r="I8" s="825"/>
      <c r="J8" s="1173" t="s">
        <v>896</v>
      </c>
      <c r="L8" s="852"/>
      <c r="O8" s="157">
        <v>50</v>
      </c>
      <c r="P8" s="157"/>
      <c r="Q8" s="157">
        <v>0</v>
      </c>
      <c r="R8" s="157">
        <v>4</v>
      </c>
      <c r="S8" s="157">
        <v>10</v>
      </c>
      <c r="U8" s="52"/>
      <c r="V8" s="52"/>
      <c r="W8" s="52"/>
      <c r="X8" s="52"/>
      <c r="Z8" s="1506" t="s">
        <v>530</v>
      </c>
      <c r="AA8" s="1506"/>
      <c r="AB8" s="1508" t="str">
        <f>'SUCS N° 03'!G4</f>
        <v>SC</v>
      </c>
      <c r="AC8" s="1508"/>
      <c r="AD8" s="1508" t="str">
        <f>'SUCS N° 03'!G5</f>
        <v xml:space="preserve"> - Arena Arcillosa con grava</v>
      </c>
      <c r="AE8" s="1508"/>
      <c r="AF8" s="1508"/>
      <c r="AG8" s="1508"/>
      <c r="AH8" s="1508"/>
      <c r="AI8" s="1508"/>
      <c r="AJ8" s="1508"/>
    </row>
    <row r="9" spans="1:59" ht="18" customHeight="1">
      <c r="A9" s="859" t="s">
        <v>559</v>
      </c>
      <c r="B9" s="833"/>
      <c r="C9" s="992"/>
      <c r="D9" s="821"/>
      <c r="E9" s="834"/>
      <c r="F9" s="835"/>
      <c r="G9" s="835"/>
      <c r="H9" s="841" t="s">
        <v>560</v>
      </c>
      <c r="I9" s="845"/>
      <c r="J9" s="1153">
        <v>1</v>
      </c>
      <c r="K9" s="886" t="s">
        <v>561</v>
      </c>
      <c r="L9" s="1162">
        <v>1</v>
      </c>
      <c r="O9" s="157">
        <v>50</v>
      </c>
      <c r="P9" s="157"/>
      <c r="Q9" s="157">
        <v>60</v>
      </c>
      <c r="R9" s="157">
        <v>4</v>
      </c>
      <c r="S9" s="157">
        <v>25</v>
      </c>
      <c r="U9" s="52">
        <v>0</v>
      </c>
      <c r="V9" s="74">
        <v>10</v>
      </c>
      <c r="W9" s="52"/>
      <c r="X9" s="52"/>
    </row>
    <row r="10" spans="1:59" ht="7.5" customHeight="1">
      <c r="A10" s="432"/>
      <c r="B10" s="853"/>
      <c r="C10" s="854"/>
      <c r="D10" s="433"/>
      <c r="E10" s="855"/>
      <c r="F10" s="856"/>
      <c r="G10" s="857"/>
      <c r="H10" s="857"/>
      <c r="I10" s="857"/>
      <c r="J10" s="858"/>
      <c r="K10" s="1502"/>
      <c r="L10" s="1503"/>
      <c r="O10" s="157">
        <v>30</v>
      </c>
      <c r="P10" s="157"/>
      <c r="Q10" s="157">
        <v>8</v>
      </c>
      <c r="R10" s="157">
        <v>20</v>
      </c>
      <c r="S10" s="509" t="e">
        <f>IF(#REF!&lt;0,0,#REF!)</f>
        <v>#REF!</v>
      </c>
      <c r="U10" s="52">
        <v>100</v>
      </c>
      <c r="V10" s="74">
        <v>10</v>
      </c>
      <c r="W10" s="52"/>
      <c r="X10" s="52"/>
      <c r="Z10" s="1500" t="s">
        <v>526</v>
      </c>
      <c r="AA10" s="1500"/>
      <c r="AB10" s="787" t="str">
        <f>'AASHTO N° 01'!N65</f>
        <v>A-1-b</v>
      </c>
      <c r="AC10" s="749" t="str">
        <f>'AASHTO N° 01'!L28</f>
        <v/>
      </c>
      <c r="AD10" s="1500" t="str">
        <f>'AASHTO N° 01'!O65</f>
        <v xml:space="preserve"> Fragmentos de roca, grava y arena</v>
      </c>
      <c r="AE10" s="1500"/>
      <c r="AF10" s="1500"/>
      <c r="AG10" s="1500"/>
      <c r="AH10" s="1500"/>
      <c r="AI10" s="1500"/>
      <c r="AJ10" s="1500"/>
      <c r="AK10" t="str">
        <f>'AASHTO N° 01'!N63</f>
        <v>Material granular</v>
      </c>
      <c r="AN10" t="str">
        <f>'AASHTO N° 01'!N64</f>
        <v>Excelente a bueno como subgrado</v>
      </c>
    </row>
    <row r="11" spans="1:59">
      <c r="A11" s="1496" t="s">
        <v>890</v>
      </c>
      <c r="B11" s="1497"/>
      <c r="C11" s="1497"/>
      <c r="D11" s="1497"/>
      <c r="E11" s="1497"/>
      <c r="F11" s="1497"/>
      <c r="G11" s="1497"/>
      <c r="H11" s="1497"/>
      <c r="I11" s="1497"/>
      <c r="J11" s="1497"/>
      <c r="K11" s="1497"/>
      <c r="L11" s="1498"/>
      <c r="O11" s="157">
        <v>30</v>
      </c>
      <c r="P11" s="157"/>
      <c r="Q11" s="157">
        <v>20</v>
      </c>
      <c r="R11" s="157">
        <v>25.48</v>
      </c>
      <c r="S11" s="509">
        <v>4</v>
      </c>
      <c r="Z11" s="1505" t="s">
        <v>527</v>
      </c>
      <c r="AA11" s="1505"/>
      <c r="AB11" s="788" t="str">
        <f>'AASHTO N° 02'!P12</f>
        <v>A-2-6(0)</v>
      </c>
      <c r="AC11" s="788"/>
      <c r="AD11" s="1501" t="s">
        <v>531</v>
      </c>
      <c r="AE11" s="1501"/>
      <c r="AF11" s="1501"/>
      <c r="AG11" s="1501"/>
      <c r="AH11" s="1501"/>
      <c r="AI11" s="1501"/>
      <c r="AJ11" s="1501"/>
    </row>
    <row r="12" spans="1:59" ht="15" customHeight="1">
      <c r="A12" s="1211" t="s">
        <v>334</v>
      </c>
      <c r="B12" s="1079"/>
      <c r="C12" s="1080" t="s">
        <v>895</v>
      </c>
      <c r="D12" s="1079"/>
      <c r="E12" s="1079"/>
      <c r="F12" s="1079"/>
      <c r="G12" s="1079"/>
      <c r="H12" s="1079"/>
      <c r="I12" s="1079"/>
      <c r="J12" s="1212" t="s">
        <v>576</v>
      </c>
      <c r="K12" s="1213">
        <v>46122</v>
      </c>
      <c r="L12" s="1081"/>
      <c r="O12" s="157">
        <v>7</v>
      </c>
      <c r="P12" s="157"/>
      <c r="Q12" s="157">
        <v>10</v>
      </c>
      <c r="R12" s="508"/>
      <c r="S12" s="508"/>
      <c r="Z12" s="1458" t="s">
        <v>527</v>
      </c>
      <c r="AA12" s="1459"/>
      <c r="AB12" s="789"/>
      <c r="AC12" s="789"/>
      <c r="AD12" s="786"/>
      <c r="AE12" s="786"/>
      <c r="AF12" s="786"/>
      <c r="AG12" s="786"/>
      <c r="AH12" s="786"/>
      <c r="AI12" s="786"/>
      <c r="AJ12" s="785"/>
    </row>
    <row r="13" spans="1:59" ht="15" customHeight="1" thickBot="1">
      <c r="A13" s="1214" t="s">
        <v>333</v>
      </c>
      <c r="B13" s="1082" t="s">
        <v>590</v>
      </c>
      <c r="C13" s="1083"/>
      <c r="D13" s="1083"/>
      <c r="E13" s="1190" t="s">
        <v>353</v>
      </c>
      <c r="F13" s="1191" t="s">
        <v>894</v>
      </c>
      <c r="G13" s="1198"/>
      <c r="H13" s="1191"/>
      <c r="I13" s="1084"/>
      <c r="J13" s="1085" t="s">
        <v>577</v>
      </c>
      <c r="K13" s="1215">
        <v>46122</v>
      </c>
      <c r="L13" s="1216"/>
      <c r="M13" s="1099">
        <v>2</v>
      </c>
      <c r="O13" s="157">
        <v>7</v>
      </c>
      <c r="P13" s="157"/>
      <c r="Q13" s="157">
        <v>30</v>
      </c>
      <c r="R13" s="508"/>
      <c r="S13" s="508"/>
    </row>
    <row r="14" spans="1:59" ht="15" customHeight="1" thickBot="1">
      <c r="A14" s="1086" t="s">
        <v>743</v>
      </c>
      <c r="B14" s="1087"/>
      <c r="C14" s="1088" t="s">
        <v>12</v>
      </c>
      <c r="D14" s="1089"/>
      <c r="E14" s="1217" t="s">
        <v>900</v>
      </c>
      <c r="F14" s="1218"/>
      <c r="G14" s="1218"/>
      <c r="H14" s="1218"/>
      <c r="I14" s="1089"/>
      <c r="J14" s="1189" t="s">
        <v>335</v>
      </c>
      <c r="K14" s="1218"/>
      <c r="L14" s="1188"/>
      <c r="P14" s="10" t="s">
        <v>86</v>
      </c>
      <c r="Q14" s="11" t="s">
        <v>87</v>
      </c>
      <c r="R14" s="12">
        <f>0.73*(P55-20)</f>
        <v>-14.6</v>
      </c>
      <c r="S14" s="508"/>
      <c r="AE14" s="1469" t="s">
        <v>474</v>
      </c>
      <c r="AF14" s="1470"/>
      <c r="AG14" s="1470"/>
      <c r="AH14" s="1470"/>
      <c r="AI14" s="1470"/>
      <c r="AJ14" s="1470"/>
      <c r="AK14" s="1470"/>
      <c r="AL14" s="1470"/>
      <c r="AM14" s="1470"/>
      <c r="AN14" s="1470"/>
      <c r="AO14" s="1470"/>
      <c r="AP14" s="1470"/>
      <c r="AQ14" s="1470"/>
      <c r="AR14" s="1470"/>
      <c r="AS14" s="1470"/>
      <c r="AT14" s="1471"/>
    </row>
    <row r="15" spans="1:59" ht="15" thickTop="1">
      <c r="A15" s="1438" t="s">
        <v>7</v>
      </c>
      <c r="B15" s="1439"/>
      <c r="C15" s="1090" t="s">
        <v>633</v>
      </c>
      <c r="D15" s="1456" t="s">
        <v>572</v>
      </c>
      <c r="E15" s="1457"/>
      <c r="F15" s="1091" t="s">
        <v>31</v>
      </c>
      <c r="G15" s="1438" t="s">
        <v>465</v>
      </c>
      <c r="H15" s="1439"/>
      <c r="I15" s="1440" t="s">
        <v>567</v>
      </c>
      <c r="J15" s="1441"/>
      <c r="K15" s="1441"/>
      <c r="L15" s="1442"/>
      <c r="P15" t="s">
        <v>89</v>
      </c>
      <c r="AE15" s="1472" t="s">
        <v>542</v>
      </c>
      <c r="AF15" s="1473"/>
      <c r="AG15" s="1473"/>
      <c r="AH15" s="1473"/>
      <c r="AI15" s="1473"/>
      <c r="AJ15" s="1473"/>
      <c r="AK15" s="1473"/>
      <c r="AL15" s="1474"/>
      <c r="AM15" s="1475" t="s">
        <v>543</v>
      </c>
      <c r="AN15" s="1476"/>
      <c r="AO15" s="1476"/>
      <c r="AP15" s="1476"/>
      <c r="AQ15" s="1476"/>
      <c r="AR15" s="1476"/>
      <c r="AS15" s="1476"/>
      <c r="AT15" s="1476"/>
    </row>
    <row r="16" spans="1:59">
      <c r="A16" s="1092" t="s">
        <v>467</v>
      </c>
      <c r="B16" s="1093" t="s">
        <v>8</v>
      </c>
      <c r="C16" s="1092" t="s">
        <v>634</v>
      </c>
      <c r="D16" s="1094" t="s">
        <v>461</v>
      </c>
      <c r="E16" s="1094" t="s">
        <v>9</v>
      </c>
      <c r="F16" s="1093" t="s">
        <v>10</v>
      </c>
      <c r="G16" s="1452" t="s">
        <v>126</v>
      </c>
      <c r="H16" s="1453"/>
      <c r="I16" s="1443"/>
      <c r="J16" s="1444"/>
      <c r="K16" s="1444"/>
      <c r="L16" s="1445"/>
      <c r="AC16" s="671" t="s">
        <v>355</v>
      </c>
      <c r="AD16" s="672" t="s">
        <v>8</v>
      </c>
      <c r="AE16" s="1406" t="s">
        <v>124</v>
      </c>
      <c r="AF16" s="1407"/>
      <c r="AG16" s="1406" t="s">
        <v>125</v>
      </c>
      <c r="AH16" s="1407"/>
      <c r="AI16" s="1406" t="s">
        <v>120</v>
      </c>
      <c r="AJ16" s="1407"/>
      <c r="AK16" s="1406" t="s">
        <v>126</v>
      </c>
      <c r="AL16" s="1407"/>
      <c r="AM16" s="1406" t="s">
        <v>124</v>
      </c>
      <c r="AN16" s="1407"/>
      <c r="AO16" s="1406" t="s">
        <v>125</v>
      </c>
      <c r="AP16" s="1407"/>
      <c r="AQ16" s="1406" t="s">
        <v>120</v>
      </c>
      <c r="AR16" s="1407"/>
      <c r="AS16" s="1406" t="s">
        <v>126</v>
      </c>
      <c r="AT16" s="1407"/>
      <c r="BG16" t="s">
        <v>460</v>
      </c>
    </row>
    <row r="17" spans="1:46" ht="15" hidden="1" customHeight="1">
      <c r="A17" s="1036" t="s">
        <v>452</v>
      </c>
      <c r="B17" s="1037">
        <v>457.2</v>
      </c>
      <c r="C17" s="1054">
        <f>+P26</f>
        <v>0</v>
      </c>
      <c r="D17" s="1039">
        <f t="shared" ref="D17:D34" si="0">C17/$L$23*100</f>
        <v>0</v>
      </c>
      <c r="E17" s="1039">
        <f>+D17</f>
        <v>0</v>
      </c>
      <c r="F17" s="1044">
        <f>100-E17</f>
        <v>100</v>
      </c>
      <c r="G17" s="1095"/>
      <c r="H17" s="1096"/>
      <c r="I17" s="1097"/>
      <c r="J17" s="1097"/>
      <c r="K17" s="1097"/>
      <c r="L17" s="1098"/>
      <c r="Q17" s="1"/>
      <c r="R17" s="2"/>
      <c r="AC17" s="676"/>
      <c r="AD17" s="676"/>
      <c r="AE17" s="676"/>
      <c r="AF17" s="676"/>
      <c r="AG17" s="676"/>
      <c r="AH17" s="676"/>
      <c r="AI17" s="676"/>
      <c r="AJ17" s="676"/>
      <c r="AK17" s="676"/>
      <c r="AL17" s="676"/>
      <c r="AM17" s="677"/>
      <c r="AN17" s="676"/>
      <c r="AO17" s="676"/>
      <c r="AP17" s="676"/>
      <c r="AQ17" s="676"/>
      <c r="AR17" s="676"/>
      <c r="AS17" s="676"/>
      <c r="AT17" s="676"/>
    </row>
    <row r="18" spans="1:46" ht="15" hidden="1" customHeight="1">
      <c r="A18" s="1036" t="s">
        <v>451</v>
      </c>
      <c r="B18" s="1037">
        <v>406.4</v>
      </c>
      <c r="C18" s="1038">
        <v>0</v>
      </c>
      <c r="D18" s="1039">
        <f t="shared" si="0"/>
        <v>0</v>
      </c>
      <c r="E18" s="1039">
        <f>+E17+D18</f>
        <v>0</v>
      </c>
      <c r="F18" s="1044">
        <f>100-E18</f>
        <v>100</v>
      </c>
      <c r="G18" s="1040"/>
      <c r="H18" s="1041"/>
      <c r="I18" s="1097"/>
      <c r="J18" s="1097"/>
      <c r="K18" s="1097"/>
      <c r="L18" s="1098"/>
      <c r="Q18" s="1"/>
      <c r="R18" s="2"/>
      <c r="AC18" s="676"/>
      <c r="AD18" s="676"/>
      <c r="AE18" s="676"/>
      <c r="AF18" s="676"/>
      <c r="AG18" s="676"/>
      <c r="AH18" s="676"/>
      <c r="AI18" s="676"/>
      <c r="AJ18" s="676"/>
      <c r="AK18" s="676"/>
      <c r="AL18" s="676"/>
      <c r="AM18" s="677"/>
      <c r="AN18" s="676"/>
      <c r="AO18" s="676"/>
      <c r="AP18" s="676"/>
      <c r="AQ18" s="676"/>
      <c r="AR18" s="676"/>
      <c r="AS18" s="676"/>
      <c r="AT18" s="676"/>
    </row>
    <row r="19" spans="1:46" ht="15" hidden="1" customHeight="1">
      <c r="A19" s="1036" t="s">
        <v>450</v>
      </c>
      <c r="B19" s="1037">
        <v>355.6</v>
      </c>
      <c r="C19" s="1038">
        <v>0</v>
      </c>
      <c r="D19" s="1039">
        <f t="shared" si="0"/>
        <v>0</v>
      </c>
      <c r="E19" s="1039">
        <f t="shared" ref="E19:E29" si="1">+E18+D19</f>
        <v>0</v>
      </c>
      <c r="F19" s="1044">
        <f t="shared" ref="F19:F31" si="2">100-E19</f>
        <v>100</v>
      </c>
      <c r="G19" s="1040"/>
      <c r="H19" s="1041"/>
      <c r="I19" s="1097"/>
      <c r="J19" s="1097"/>
      <c r="K19" s="1097"/>
      <c r="L19" s="1098"/>
      <c r="Q19" s="1"/>
      <c r="R19" s="2"/>
      <c r="AC19" s="676"/>
      <c r="AD19" s="676"/>
      <c r="AE19" s="676"/>
      <c r="AF19" s="676"/>
      <c r="AG19" s="676"/>
      <c r="AH19" s="676"/>
      <c r="AI19" s="676"/>
      <c r="AJ19" s="676"/>
      <c r="AK19" s="676"/>
      <c r="AL19" s="676"/>
      <c r="AM19" s="677"/>
      <c r="AN19" s="676"/>
      <c r="AO19" s="676"/>
      <c r="AP19" s="676"/>
      <c r="AQ19" s="676"/>
      <c r="AR19" s="676"/>
      <c r="AS19" s="676"/>
      <c r="AT19" s="676"/>
    </row>
    <row r="20" spans="1:46" ht="15" hidden="1" customHeight="1">
      <c r="A20" s="1036" t="s">
        <v>46</v>
      </c>
      <c r="B20" s="1037">
        <v>304.8</v>
      </c>
      <c r="C20" s="1038">
        <v>0</v>
      </c>
      <c r="D20" s="1039">
        <f t="shared" si="0"/>
        <v>0</v>
      </c>
      <c r="E20" s="1039">
        <f t="shared" si="1"/>
        <v>0</v>
      </c>
      <c r="F20" s="1044">
        <f t="shared" si="2"/>
        <v>100</v>
      </c>
      <c r="G20" s="1040"/>
      <c r="H20" s="1041"/>
      <c r="I20" s="1097"/>
      <c r="J20" s="1097"/>
      <c r="K20" s="1097"/>
      <c r="L20" s="1098"/>
      <c r="Q20" s="1"/>
      <c r="R20" s="2"/>
      <c r="AC20" s="676"/>
      <c r="AD20" s="676"/>
      <c r="AE20" s="676"/>
      <c r="AF20" s="676"/>
      <c r="AG20" s="676"/>
      <c r="AH20" s="676"/>
      <c r="AI20" s="676"/>
      <c r="AJ20" s="676"/>
      <c r="AK20" s="676"/>
      <c r="AL20" s="676"/>
      <c r="AM20" s="677"/>
      <c r="AN20" s="676"/>
      <c r="AO20" s="676"/>
      <c r="AP20" s="676"/>
      <c r="AQ20" s="676"/>
      <c r="AR20" s="676"/>
      <c r="AS20" s="676"/>
      <c r="AT20" s="676"/>
    </row>
    <row r="21" spans="1:46" ht="15" hidden="1" customHeight="1">
      <c r="A21" s="1036" t="s">
        <v>11</v>
      </c>
      <c r="B21" s="1037">
        <v>254</v>
      </c>
      <c r="C21" s="1038">
        <v>0</v>
      </c>
      <c r="D21" s="1039">
        <f t="shared" si="0"/>
        <v>0</v>
      </c>
      <c r="E21" s="1039">
        <f t="shared" si="1"/>
        <v>0</v>
      </c>
      <c r="F21" s="1044">
        <f t="shared" si="2"/>
        <v>100</v>
      </c>
      <c r="G21" s="1040"/>
      <c r="H21" s="1041"/>
      <c r="I21" s="1192"/>
      <c r="J21" s="1192"/>
      <c r="K21" s="1192"/>
      <c r="L21" s="1193"/>
      <c r="Q21" s="1"/>
      <c r="R21" s="2"/>
      <c r="AC21" s="676"/>
      <c r="AD21" s="676"/>
      <c r="AE21" s="676"/>
      <c r="AF21" s="676"/>
      <c r="AG21" s="676"/>
      <c r="AH21" s="676"/>
      <c r="AI21" s="676"/>
      <c r="AJ21" s="676"/>
      <c r="AK21" s="676"/>
      <c r="AL21" s="676"/>
      <c r="AM21" s="677"/>
      <c r="AN21" s="676"/>
      <c r="AO21" s="676"/>
      <c r="AP21" s="676"/>
      <c r="AQ21" s="676"/>
      <c r="AR21" s="676"/>
      <c r="AS21" s="676"/>
      <c r="AT21" s="676"/>
    </row>
    <row r="22" spans="1:46" ht="15" thickBot="1">
      <c r="A22" s="1036" t="s">
        <v>12</v>
      </c>
      <c r="B22" s="1037">
        <v>152.4</v>
      </c>
      <c r="C22" s="1038">
        <f>P25</f>
        <v>0</v>
      </c>
      <c r="D22" s="1047">
        <f t="shared" si="0"/>
        <v>0</v>
      </c>
      <c r="E22" s="1047">
        <f t="shared" si="1"/>
        <v>0</v>
      </c>
      <c r="F22" s="1068">
        <f>100-E22</f>
        <v>100</v>
      </c>
      <c r="G22" s="1040" t="s">
        <v>217</v>
      </c>
      <c r="H22" s="1041"/>
      <c r="I22" s="1194" t="s">
        <v>635</v>
      </c>
      <c r="J22" s="1195"/>
      <c r="K22" s="1195"/>
      <c r="L22" s="1196">
        <f>R27</f>
        <v>125640</v>
      </c>
      <c r="Q22" s="1"/>
      <c r="R22" s="2"/>
      <c r="AC22" s="676"/>
      <c r="AD22" s="676"/>
      <c r="AE22" s="676"/>
      <c r="AF22" s="676"/>
      <c r="AG22" s="676"/>
      <c r="AH22" s="676"/>
      <c r="AI22" s="676"/>
      <c r="AJ22" s="676"/>
      <c r="AK22" s="676"/>
      <c r="AL22" s="676"/>
      <c r="AM22" s="677"/>
      <c r="AN22" s="676"/>
      <c r="AO22" s="676"/>
      <c r="AP22" s="676"/>
      <c r="AQ22" s="676"/>
      <c r="AR22" s="676"/>
      <c r="AS22" s="676"/>
      <c r="AT22" s="676"/>
    </row>
    <row r="23" spans="1:46" ht="15" customHeight="1" thickBot="1">
      <c r="A23" s="1036" t="s">
        <v>13</v>
      </c>
      <c r="B23" s="1037">
        <v>127</v>
      </c>
      <c r="C23" s="1038">
        <f>+P26</f>
        <v>0</v>
      </c>
      <c r="D23" s="1047">
        <f t="shared" si="0"/>
        <v>0</v>
      </c>
      <c r="E23" s="1047">
        <f t="shared" si="1"/>
        <v>0</v>
      </c>
      <c r="F23" s="1048">
        <f>100-E23</f>
        <v>100</v>
      </c>
      <c r="G23" s="1040" t="s">
        <v>217</v>
      </c>
      <c r="H23" s="1041" t="s">
        <v>217</v>
      </c>
      <c r="I23" s="1197" t="s">
        <v>899</v>
      </c>
      <c r="J23" s="1198"/>
      <c r="K23" s="1198"/>
      <c r="L23" s="1110">
        <f>W30</f>
        <v>118353.90736259939</v>
      </c>
      <c r="O23" s="1477" t="s">
        <v>454</v>
      </c>
      <c r="P23" s="1478"/>
      <c r="Q23" s="1478"/>
      <c r="R23" s="1478"/>
      <c r="S23" s="1478"/>
      <c r="T23" s="1479"/>
      <c r="V23" s="1480" t="s">
        <v>466</v>
      </c>
      <c r="W23" s="1481"/>
      <c r="AC23" s="676"/>
      <c r="AD23" s="676"/>
      <c r="AE23" s="676"/>
      <c r="AF23" s="676"/>
      <c r="AG23" s="676"/>
      <c r="AH23" s="676"/>
      <c r="AI23" s="676"/>
      <c r="AJ23" s="676"/>
      <c r="AK23" s="676"/>
      <c r="AL23" s="676"/>
      <c r="AM23" s="677"/>
      <c r="AN23" s="676"/>
      <c r="AO23" s="676"/>
      <c r="AP23" s="676"/>
      <c r="AQ23" s="676"/>
      <c r="AR23" s="676"/>
      <c r="AS23" s="676"/>
      <c r="AT23" s="676"/>
    </row>
    <row r="24" spans="1:46" ht="15" customHeight="1">
      <c r="A24" s="1036" t="s">
        <v>14</v>
      </c>
      <c r="B24" s="1037">
        <v>101.6</v>
      </c>
      <c r="C24" s="1038">
        <f t="shared" ref="C24:C41" si="3">+P27</f>
        <v>0</v>
      </c>
      <c r="D24" s="1047">
        <f t="shared" si="0"/>
        <v>0</v>
      </c>
      <c r="E24" s="1047">
        <f t="shared" si="1"/>
        <v>0</v>
      </c>
      <c r="F24" s="1048">
        <f>100-E24</f>
        <v>100</v>
      </c>
      <c r="G24" s="1040" t="s">
        <v>217</v>
      </c>
      <c r="H24" s="1041" t="s">
        <v>217</v>
      </c>
      <c r="I24" s="1197" t="s">
        <v>622</v>
      </c>
      <c r="J24" s="1042"/>
      <c r="K24" s="1042"/>
      <c r="L24" s="1110">
        <f>R29</f>
        <v>81228</v>
      </c>
      <c r="AC24" s="673" t="s">
        <v>14</v>
      </c>
      <c r="AD24" s="678">
        <v>101.6</v>
      </c>
      <c r="AE24" s="673"/>
      <c r="AF24" s="673"/>
      <c r="AG24" s="596"/>
      <c r="AH24" s="596"/>
      <c r="AI24" s="596"/>
      <c r="AJ24" s="596"/>
      <c r="AK24" s="596" t="s">
        <v>217</v>
      </c>
      <c r="AL24" s="596" t="s">
        <v>217</v>
      </c>
      <c r="AM24" s="596"/>
      <c r="AN24" s="596"/>
      <c r="AO24" s="596"/>
      <c r="AP24" s="596"/>
      <c r="AQ24" s="596"/>
      <c r="AR24" s="596"/>
      <c r="AS24" s="596"/>
      <c r="AT24" s="596"/>
    </row>
    <row r="25" spans="1:46" ht="15" customHeight="1">
      <c r="A25" s="1036" t="s">
        <v>6</v>
      </c>
      <c r="B25" s="1037">
        <v>76.2</v>
      </c>
      <c r="C25" s="1038">
        <f t="shared" si="3"/>
        <v>4335</v>
      </c>
      <c r="D25" s="1047">
        <f t="shared" si="0"/>
        <v>3.6627434586666534</v>
      </c>
      <c r="E25" s="1047">
        <f t="shared" si="1"/>
        <v>3.6627434586666534</v>
      </c>
      <c r="F25" s="1048">
        <f>100-E25</f>
        <v>96.337256541333346</v>
      </c>
      <c r="G25" s="1040" t="s">
        <v>217</v>
      </c>
      <c r="H25" s="1041" t="s">
        <v>217</v>
      </c>
      <c r="I25" s="1197" t="s">
        <v>623</v>
      </c>
      <c r="J25" s="1042"/>
      <c r="K25" s="1042"/>
      <c r="L25" s="1110">
        <f>W28</f>
        <v>73941.907362599391</v>
      </c>
      <c r="M25" s="50"/>
      <c r="O25" s="596" t="s">
        <v>12</v>
      </c>
      <c r="P25" s="952">
        <v>0</v>
      </c>
      <c r="AC25" s="673" t="s">
        <v>6</v>
      </c>
      <c r="AD25" s="678">
        <v>76.2</v>
      </c>
      <c r="AE25" s="673"/>
      <c r="AF25" s="673"/>
      <c r="AG25" s="596"/>
      <c r="AH25" s="596"/>
      <c r="AI25" s="596"/>
      <c r="AJ25" s="596"/>
      <c r="AK25" s="596" t="s">
        <v>217</v>
      </c>
      <c r="AL25" s="596" t="s">
        <v>217</v>
      </c>
      <c r="AM25" s="596"/>
      <c r="AN25" s="596"/>
      <c r="AO25" s="596"/>
      <c r="AP25" s="596"/>
      <c r="AQ25" s="596"/>
      <c r="AR25" s="596"/>
      <c r="AS25" s="596"/>
      <c r="AT25" s="596"/>
    </row>
    <row r="26" spans="1:46" ht="15" customHeight="1" thickBot="1">
      <c r="A26" s="1036" t="s">
        <v>15</v>
      </c>
      <c r="B26" s="1037">
        <v>63.5</v>
      </c>
      <c r="C26" s="1038">
        <f t="shared" si="3"/>
        <v>3826</v>
      </c>
      <c r="D26" s="1047">
        <f t="shared" si="0"/>
        <v>3.2326773870492773</v>
      </c>
      <c r="E26" s="1047">
        <f t="shared" si="1"/>
        <v>6.8954208457159307</v>
      </c>
      <c r="F26" s="1048">
        <f t="shared" si="2"/>
        <v>93.104579154284067</v>
      </c>
      <c r="G26" s="1040" t="s">
        <v>217</v>
      </c>
      <c r="H26" s="1041" t="s">
        <v>217</v>
      </c>
      <c r="I26" s="1197" t="s">
        <v>624</v>
      </c>
      <c r="J26" s="1042"/>
      <c r="K26" s="1042"/>
      <c r="L26" s="1110">
        <f>W27</f>
        <v>44412</v>
      </c>
      <c r="M26" s="421"/>
      <c r="O26" s="596" t="s">
        <v>13</v>
      </c>
      <c r="P26" s="952">
        <v>0</v>
      </c>
      <c r="R26" s="938" t="s">
        <v>456</v>
      </c>
      <c r="S26" s="950"/>
      <c r="T26" s="951"/>
      <c r="AC26" s="673" t="s">
        <v>15</v>
      </c>
      <c r="AD26" s="678">
        <v>63.5</v>
      </c>
      <c r="AE26" s="674"/>
      <c r="AF26" s="674"/>
      <c r="AG26" s="596"/>
      <c r="AH26" s="596"/>
      <c r="AI26" s="596"/>
      <c r="AJ26" s="596"/>
      <c r="AK26" s="596" t="s">
        <v>217</v>
      </c>
      <c r="AL26" s="596" t="s">
        <v>217</v>
      </c>
      <c r="AM26" s="596"/>
      <c r="AN26" s="596"/>
      <c r="AO26" s="596"/>
      <c r="AP26" s="596"/>
      <c r="AQ26" s="596"/>
      <c r="AR26" s="596"/>
      <c r="AS26" s="596"/>
      <c r="AT26" s="596"/>
    </row>
    <row r="27" spans="1:46" ht="15" customHeight="1">
      <c r="A27" s="1040" t="s">
        <v>16</v>
      </c>
      <c r="B27" s="1045">
        <v>50.8</v>
      </c>
      <c r="C27" s="1038">
        <f t="shared" si="3"/>
        <v>3343</v>
      </c>
      <c r="D27" s="1047">
        <f t="shared" si="0"/>
        <v>2.8245793269487018</v>
      </c>
      <c r="E27" s="1047">
        <f t="shared" si="1"/>
        <v>9.7200001726646335</v>
      </c>
      <c r="F27" s="1048">
        <f>100-E27</f>
        <v>90.279999827335359</v>
      </c>
      <c r="G27" s="1040" t="str">
        <f>IF($G$16="A",AE27, IF($G$16="B",AG27, IF($G$16="C",AI27, IF($G$16="D",AK27," "))))</f>
        <v>-</v>
      </c>
      <c r="H27" s="1041" t="str">
        <f>IF($G$16="A",AF27, IF($G$16="B",AH27, IF($G$16="C",AJ27, IF($G$16="D",AL27,""))))</f>
        <v>-</v>
      </c>
      <c r="I27" s="1199" t="s">
        <v>578</v>
      </c>
      <c r="J27" s="1198"/>
      <c r="K27" s="1198"/>
      <c r="L27" s="1200"/>
      <c r="M27" s="50"/>
      <c r="O27" s="596" t="s">
        <v>14</v>
      </c>
      <c r="P27" s="952">
        <v>0</v>
      </c>
      <c r="Q27" s="562"/>
      <c r="R27" s="589">
        <f>SUM(R28:R29)</f>
        <v>125640</v>
      </c>
      <c r="S27" s="568" t="s">
        <v>455</v>
      </c>
      <c r="T27" s="569"/>
      <c r="U27" s="562"/>
      <c r="V27" s="604" t="s">
        <v>47</v>
      </c>
      <c r="W27" s="605">
        <f>SUM(C17:C34)</f>
        <v>44412</v>
      </c>
      <c r="AC27" s="673" t="s">
        <v>16</v>
      </c>
      <c r="AD27" s="678">
        <v>50.8</v>
      </c>
      <c r="AE27" s="674"/>
      <c r="AF27" s="674"/>
      <c r="AG27" s="596">
        <v>100</v>
      </c>
      <c r="AH27" s="596">
        <v>100</v>
      </c>
      <c r="AI27" s="596"/>
      <c r="AJ27" s="596"/>
      <c r="AK27" s="596" t="s">
        <v>217</v>
      </c>
      <c r="AL27" s="596" t="s">
        <v>217</v>
      </c>
      <c r="AM27" s="596">
        <v>100</v>
      </c>
      <c r="AN27" s="596">
        <v>100</v>
      </c>
      <c r="AO27" s="596">
        <v>100</v>
      </c>
      <c r="AP27" s="596">
        <v>100</v>
      </c>
      <c r="AQ27" s="596"/>
      <c r="AR27" s="596"/>
      <c r="AS27" s="596"/>
      <c r="AT27" s="596"/>
    </row>
    <row r="28" spans="1:46" ht="15" customHeight="1">
      <c r="A28" s="1046" t="s">
        <v>17</v>
      </c>
      <c r="B28" s="1045">
        <v>38.1</v>
      </c>
      <c r="C28" s="1038">
        <f t="shared" si="3"/>
        <v>4591</v>
      </c>
      <c r="D28" s="1047">
        <f t="shared" si="0"/>
        <v>3.879043879755157</v>
      </c>
      <c r="E28" s="1047">
        <f t="shared" si="1"/>
        <v>13.59904405241979</v>
      </c>
      <c r="F28" s="1048">
        <f t="shared" si="2"/>
        <v>86.400955947580215</v>
      </c>
      <c r="G28" s="1040" t="str">
        <f t="shared" ref="G28" si="4">IF($G$16="A",AE28, IF($G$16="B",AG28, IF($G$16="C",AI28, IF($G$16="D",AK28,""))))</f>
        <v>-</v>
      </c>
      <c r="H28" s="1041" t="str">
        <f t="shared" ref="H28" si="5">IF($G$16="A",AF28, IF($G$16="B",AH28, IF($G$16="C",AJ28, IF($G$16="D",AL28,""))))</f>
        <v>-</v>
      </c>
      <c r="I28" s="1197" t="s">
        <v>625</v>
      </c>
      <c r="J28" s="1198"/>
      <c r="K28" s="1198"/>
      <c r="L28" s="1043">
        <f>R52</f>
        <v>792.9</v>
      </c>
      <c r="M28" s="421"/>
      <c r="O28" s="596" t="s">
        <v>6</v>
      </c>
      <c r="P28" s="952">
        <v>4335</v>
      </c>
      <c r="Q28" s="562"/>
      <c r="R28" s="566">
        <f>SUM(P26:P37)</f>
        <v>44412</v>
      </c>
      <c r="S28" s="567" t="s">
        <v>349</v>
      </c>
      <c r="T28" s="570"/>
      <c r="U28" s="562"/>
      <c r="V28" s="606" t="s">
        <v>48</v>
      </c>
      <c r="W28" s="607">
        <f>R38</f>
        <v>73941.907362599391</v>
      </c>
      <c r="AC28" s="679" t="s">
        <v>17</v>
      </c>
      <c r="AD28" s="678">
        <v>38.1</v>
      </c>
      <c r="AE28" s="674"/>
      <c r="AF28" s="674"/>
      <c r="AG28" s="596"/>
      <c r="AH28" s="596"/>
      <c r="AI28" s="596"/>
      <c r="AJ28" s="596"/>
      <c r="AK28" s="596" t="s">
        <v>217</v>
      </c>
      <c r="AL28" s="596" t="s">
        <v>217</v>
      </c>
      <c r="AM28" s="596"/>
      <c r="AN28" s="596"/>
      <c r="AO28" s="596"/>
      <c r="AP28" s="596"/>
      <c r="AQ28" s="596"/>
      <c r="AR28" s="596"/>
      <c r="AS28" s="596"/>
      <c r="AT28" s="596"/>
    </row>
    <row r="29" spans="1:46" ht="15" customHeight="1">
      <c r="A29" s="1046" t="s">
        <v>18</v>
      </c>
      <c r="B29" s="1045">
        <v>25.4</v>
      </c>
      <c r="C29" s="1038">
        <f t="shared" si="3"/>
        <v>5862</v>
      </c>
      <c r="D29" s="1047">
        <f t="shared" si="0"/>
        <v>4.952941673518783</v>
      </c>
      <c r="E29" s="1047">
        <f t="shared" si="1"/>
        <v>18.551985725938572</v>
      </c>
      <c r="F29" s="1048">
        <f t="shared" si="2"/>
        <v>81.448014274061421</v>
      </c>
      <c r="G29" s="1040" t="str">
        <f t="shared" ref="G29:G46" si="6">IF($G$16="A",AE29, IF($G$16="B",AG29, IF($G$16="C",AI29, IF($G$16="D",AK29,""))))</f>
        <v>-</v>
      </c>
      <c r="H29" s="1041" t="str">
        <f t="shared" ref="H29:H46" si="7">IF($G$16="A",AF29, IF($G$16="B",AH29, IF($G$16="C",AJ29, IF($G$16="D",AL29,""))))</f>
        <v>-</v>
      </c>
      <c r="I29" s="1197" t="s">
        <v>898</v>
      </c>
      <c r="J29" s="1042"/>
      <c r="K29" s="1042"/>
      <c r="L29" s="1043">
        <f>W29</f>
        <v>721.77744555824415</v>
      </c>
      <c r="M29" s="50"/>
      <c r="O29" s="596" t="s">
        <v>15</v>
      </c>
      <c r="P29" s="952">
        <v>3826</v>
      </c>
      <c r="Q29" s="562"/>
      <c r="R29" s="957">
        <f>P52-R28</f>
        <v>81228</v>
      </c>
      <c r="S29" s="563" t="s">
        <v>347</v>
      </c>
      <c r="T29" s="565"/>
      <c r="U29" s="562"/>
      <c r="V29" s="612" t="s">
        <v>458</v>
      </c>
      <c r="W29" s="613">
        <f>R41</f>
        <v>721.77744555824415</v>
      </c>
      <c r="AC29" s="679" t="s">
        <v>18</v>
      </c>
      <c r="AD29" s="678">
        <v>25.4</v>
      </c>
      <c r="AE29" s="675"/>
      <c r="AF29" s="675"/>
      <c r="AG29" s="596">
        <v>75</v>
      </c>
      <c r="AH29" s="596">
        <v>95</v>
      </c>
      <c r="AI29" s="596">
        <v>100</v>
      </c>
      <c r="AJ29" s="596">
        <v>100</v>
      </c>
      <c r="AK29" s="596" t="s">
        <v>217</v>
      </c>
      <c r="AL29" s="596" t="s">
        <v>217</v>
      </c>
      <c r="AM29" s="596"/>
      <c r="AN29" s="596"/>
      <c r="AO29" s="596">
        <v>75</v>
      </c>
      <c r="AP29" s="596">
        <v>95</v>
      </c>
      <c r="AQ29" s="596">
        <v>100</v>
      </c>
      <c r="AR29" s="596">
        <v>100</v>
      </c>
      <c r="AS29" s="596">
        <v>100</v>
      </c>
      <c r="AT29" s="596">
        <v>100</v>
      </c>
    </row>
    <row r="30" spans="1:46" ht="15" customHeight="1" thickBot="1">
      <c r="A30" s="1178" t="s">
        <v>19</v>
      </c>
      <c r="B30" s="1179">
        <v>19.05</v>
      </c>
      <c r="C30" s="1174">
        <f t="shared" si="3"/>
        <v>3695</v>
      </c>
      <c r="D30" s="1175">
        <f t="shared" si="0"/>
        <v>3.1219924059453943</v>
      </c>
      <c r="E30" s="1181">
        <f t="shared" ref="E30:E36" si="8">+E29+D30</f>
        <v>21.673978131883967</v>
      </c>
      <c r="F30" s="1182">
        <f t="shared" si="2"/>
        <v>78.32602186811603</v>
      </c>
      <c r="G30" s="1040" t="str">
        <f t="shared" si="6"/>
        <v>-</v>
      </c>
      <c r="H30" s="1041" t="str">
        <f t="shared" si="7"/>
        <v>-</v>
      </c>
      <c r="I30" s="1197" t="s">
        <v>626</v>
      </c>
      <c r="J30" s="1198"/>
      <c r="K30" s="1198"/>
      <c r="L30" s="1043">
        <f>R42</f>
        <v>521.59999999999991</v>
      </c>
      <c r="M30" s="50"/>
      <c r="O30" s="596" t="s">
        <v>16</v>
      </c>
      <c r="P30" s="952">
        <v>3343</v>
      </c>
      <c r="Q30" s="562"/>
      <c r="R30" s="942"/>
      <c r="U30" s="562"/>
      <c r="V30" s="608" t="s">
        <v>49</v>
      </c>
      <c r="W30" s="609">
        <f>+IFERROR((W28+W27),"")</f>
        <v>118353.90736259939</v>
      </c>
      <c r="AC30" s="679" t="s">
        <v>19</v>
      </c>
      <c r="AD30" s="678">
        <v>19.05</v>
      </c>
      <c r="AE30" s="596">
        <v>100</v>
      </c>
      <c r="AF30" s="642">
        <v>100</v>
      </c>
      <c r="AG30" s="596"/>
      <c r="AH30" s="596"/>
      <c r="AI30" s="596"/>
      <c r="AJ30" s="596"/>
      <c r="AK30" s="596" t="s">
        <v>217</v>
      </c>
      <c r="AL30" s="596" t="s">
        <v>217</v>
      </c>
      <c r="AM30" s="596"/>
      <c r="AN30" s="596"/>
      <c r="AO30" s="596"/>
      <c r="AP30" s="596"/>
      <c r="AQ30" s="596"/>
      <c r="AR30" s="596"/>
      <c r="AS30" s="596"/>
      <c r="AT30" s="596"/>
    </row>
    <row r="31" spans="1:46" ht="15" customHeight="1">
      <c r="A31" s="1046" t="s">
        <v>21</v>
      </c>
      <c r="B31" s="1180">
        <v>12.5</v>
      </c>
      <c r="C31" s="1038">
        <f t="shared" si="3"/>
        <v>6504</v>
      </c>
      <c r="D31" s="1047">
        <f t="shared" si="0"/>
        <v>5.4953825732797963</v>
      </c>
      <c r="E31" s="1175">
        <f t="shared" si="8"/>
        <v>27.169360705163761</v>
      </c>
      <c r="F31" s="1183">
        <f t="shared" si="2"/>
        <v>72.830639294836232</v>
      </c>
      <c r="G31" s="1040" t="str">
        <f t="shared" si="6"/>
        <v>-</v>
      </c>
      <c r="H31" s="1041" t="str">
        <f t="shared" si="7"/>
        <v>-</v>
      </c>
      <c r="I31" s="1197" t="s">
        <v>627</v>
      </c>
      <c r="J31" s="1042"/>
      <c r="K31" s="1042"/>
      <c r="L31" s="1043">
        <f>R53</f>
        <v>200.17744555824393</v>
      </c>
      <c r="M31" s="422"/>
      <c r="O31" s="596" t="s">
        <v>17</v>
      </c>
      <c r="P31" s="952">
        <v>4591</v>
      </c>
      <c r="Q31" s="562"/>
      <c r="R31" s="938" t="s">
        <v>464</v>
      </c>
      <c r="S31" s="950"/>
      <c r="T31" s="951"/>
      <c r="U31" s="562"/>
      <c r="V31" s="562"/>
      <c r="W31" s="562"/>
      <c r="AC31" s="679" t="s">
        <v>21</v>
      </c>
      <c r="AD31" s="678">
        <v>12.5</v>
      </c>
      <c r="AE31" s="596"/>
      <c r="AF31" s="642"/>
      <c r="AG31" s="596"/>
      <c r="AH31" s="596"/>
      <c r="AI31" s="596"/>
      <c r="AJ31" s="596"/>
      <c r="AK31" s="596" t="s">
        <v>217</v>
      </c>
      <c r="AL31" s="596" t="s">
        <v>217</v>
      </c>
      <c r="AM31" s="596"/>
      <c r="AN31" s="596"/>
      <c r="AO31" s="596"/>
      <c r="AP31" s="596"/>
      <c r="AQ31" s="596"/>
      <c r="AR31" s="596"/>
      <c r="AS31" s="596"/>
      <c r="AT31" s="596"/>
    </row>
    <row r="32" spans="1:46" ht="15" customHeight="1">
      <c r="A32" s="1178" t="s">
        <v>23</v>
      </c>
      <c r="B32" s="1185">
        <v>9.5</v>
      </c>
      <c r="C32" s="1186">
        <f t="shared" si="3"/>
        <v>3284</v>
      </c>
      <c r="D32" s="1052">
        <f t="shared" si="0"/>
        <v>2.7747288392759608</v>
      </c>
      <c r="E32" s="1052">
        <f>+E31+D32</f>
        <v>29.944089544439723</v>
      </c>
      <c r="F32" s="1177">
        <f>100-E32</f>
        <v>70.05591045556028</v>
      </c>
      <c r="G32" s="1040" t="str">
        <f t="shared" si="6"/>
        <v>-</v>
      </c>
      <c r="H32" s="1041" t="str">
        <f t="shared" si="7"/>
        <v>-</v>
      </c>
      <c r="I32" s="1201"/>
      <c r="J32" s="1042"/>
      <c r="K32" s="1042"/>
      <c r="L32" s="1200"/>
      <c r="M32" s="50"/>
      <c r="O32" s="596" t="s">
        <v>18</v>
      </c>
      <c r="P32" s="952">
        <v>5862</v>
      </c>
      <c r="Q32" s="562"/>
      <c r="R32" s="573" t="s">
        <v>853</v>
      </c>
      <c r="S32" s="574" t="s">
        <v>346</v>
      </c>
      <c r="T32" s="575"/>
      <c r="U32" s="562"/>
      <c r="V32" s="939" t="s">
        <v>459</v>
      </c>
      <c r="W32" s="922"/>
      <c r="AC32" s="679" t="s">
        <v>23</v>
      </c>
      <c r="AD32" s="678">
        <v>9.5</v>
      </c>
      <c r="AE32" s="596"/>
      <c r="AF32" s="642"/>
      <c r="AG32" s="596">
        <v>40</v>
      </c>
      <c r="AH32" s="596">
        <v>75</v>
      </c>
      <c r="AI32" s="596">
        <v>50</v>
      </c>
      <c r="AJ32" s="596">
        <v>85</v>
      </c>
      <c r="AK32" s="596" t="s">
        <v>217</v>
      </c>
      <c r="AL32" s="596" t="s">
        <v>217</v>
      </c>
      <c r="AM32" s="596">
        <v>30</v>
      </c>
      <c r="AN32" s="596">
        <v>65</v>
      </c>
      <c r="AO32" s="596">
        <v>40</v>
      </c>
      <c r="AP32" s="596">
        <v>75</v>
      </c>
      <c r="AQ32" s="596">
        <v>50</v>
      </c>
      <c r="AR32" s="596">
        <v>85</v>
      </c>
      <c r="AS32" s="596">
        <v>60</v>
      </c>
      <c r="AT32" s="596">
        <v>100</v>
      </c>
    </row>
    <row r="33" spans="1:46" ht="15" customHeight="1">
      <c r="A33" s="1184" t="s">
        <v>25</v>
      </c>
      <c r="B33" s="1037">
        <v>6.35</v>
      </c>
      <c r="C33" s="1187">
        <f t="shared" si="3"/>
        <v>5458</v>
      </c>
      <c r="D33" s="1047">
        <f t="shared" si="0"/>
        <v>4.6115925714884876</v>
      </c>
      <c r="E33" s="1047">
        <f t="shared" si="8"/>
        <v>34.555682115928214</v>
      </c>
      <c r="F33" s="1048">
        <f>100-E33</f>
        <v>65.444317884071779</v>
      </c>
      <c r="G33" s="1040" t="str">
        <f t="shared" si="6"/>
        <v>-</v>
      </c>
      <c r="H33" s="1041" t="str">
        <f t="shared" si="7"/>
        <v>-</v>
      </c>
      <c r="I33" s="1202" t="s">
        <v>893</v>
      </c>
      <c r="J33" s="1203"/>
      <c r="K33" s="1204"/>
      <c r="L33" s="1205">
        <f>R36</f>
        <v>9.8538067210935747</v>
      </c>
      <c r="M33" s="422"/>
      <c r="O33" s="596" t="s">
        <v>19</v>
      </c>
      <c r="P33" s="952">
        <v>3695</v>
      </c>
      <c r="Q33" s="562"/>
      <c r="R33" s="953">
        <v>1189.0999999999999</v>
      </c>
      <c r="S33" s="576" t="s">
        <v>50</v>
      </c>
      <c r="T33" s="577"/>
      <c r="U33" s="562"/>
      <c r="V33" s="597">
        <v>1</v>
      </c>
      <c r="W33" s="598">
        <v>614.29999999999995</v>
      </c>
      <c r="AC33" s="679" t="s">
        <v>25</v>
      </c>
      <c r="AD33" s="678">
        <v>6.35</v>
      </c>
      <c r="AE33" s="596"/>
      <c r="AF33" s="642"/>
      <c r="AG33" s="596"/>
      <c r="AH33" s="596"/>
      <c r="AI33" s="596"/>
      <c r="AJ33" s="596"/>
      <c r="AK33" s="596" t="s">
        <v>217</v>
      </c>
      <c r="AL33" s="596" t="s">
        <v>217</v>
      </c>
      <c r="AM33" s="596"/>
      <c r="AN33" s="596"/>
      <c r="AO33" s="596"/>
      <c r="AP33" s="596"/>
      <c r="AQ33" s="596"/>
      <c r="AR33" s="596"/>
      <c r="AS33" s="596"/>
      <c r="AT33" s="596"/>
    </row>
    <row r="34" spans="1:46" ht="15" customHeight="1">
      <c r="A34" s="1046" t="s">
        <v>27</v>
      </c>
      <c r="B34" s="1045">
        <v>4.75</v>
      </c>
      <c r="C34" s="1174">
        <f t="shared" si="3"/>
        <v>3514</v>
      </c>
      <c r="D34" s="1175">
        <f t="shared" si="0"/>
        <v>2.9690612488476633</v>
      </c>
      <c r="E34" s="1175">
        <f>+E33+D34</f>
        <v>37.52474336477588</v>
      </c>
      <c r="F34" s="1176">
        <f>100-E34</f>
        <v>62.47525663522412</v>
      </c>
      <c r="G34" s="1040" t="str">
        <f t="shared" si="6"/>
        <v>-</v>
      </c>
      <c r="H34" s="1041" t="str">
        <f t="shared" si="7"/>
        <v>-</v>
      </c>
      <c r="I34" s="1197" t="s">
        <v>569</v>
      </c>
      <c r="J34" s="1049"/>
      <c r="K34" s="1050"/>
      <c r="L34" s="1206">
        <f>+'D4318'!F59</f>
        <v>31</v>
      </c>
      <c r="M34" s="50"/>
      <c r="O34" s="596" t="s">
        <v>21</v>
      </c>
      <c r="P34" s="952">
        <v>6504</v>
      </c>
      <c r="Q34" s="562"/>
      <c r="R34" s="953">
        <v>1137.2</v>
      </c>
      <c r="S34" s="576" t="s">
        <v>53</v>
      </c>
      <c r="T34" s="577"/>
      <c r="U34" s="562"/>
      <c r="V34" s="599">
        <v>2</v>
      </c>
      <c r="W34" s="600">
        <v>614.20000000000005</v>
      </c>
      <c r="AC34" s="679" t="s">
        <v>27</v>
      </c>
      <c r="AD34" s="678">
        <v>4.75</v>
      </c>
      <c r="AE34" s="596"/>
      <c r="AF34" s="642"/>
      <c r="AG34" s="596">
        <v>30</v>
      </c>
      <c r="AH34" s="596">
        <v>60</v>
      </c>
      <c r="AI34" s="596">
        <v>35</v>
      </c>
      <c r="AJ34" s="596">
        <v>65</v>
      </c>
      <c r="AK34" s="596" t="s">
        <v>217</v>
      </c>
      <c r="AL34" s="596" t="s">
        <v>217</v>
      </c>
      <c r="AM34" s="596">
        <v>25</v>
      </c>
      <c r="AN34" s="596">
        <v>55</v>
      </c>
      <c r="AO34" s="596">
        <v>30</v>
      </c>
      <c r="AP34" s="596">
        <v>60</v>
      </c>
      <c r="AQ34" s="596">
        <v>35</v>
      </c>
      <c r="AR34" s="596">
        <v>65</v>
      </c>
      <c r="AS34" s="596">
        <v>50</v>
      </c>
      <c r="AT34" s="596">
        <v>85</v>
      </c>
    </row>
    <row r="35" spans="1:46" ht="15" customHeight="1">
      <c r="A35" s="1053" t="s">
        <v>28</v>
      </c>
      <c r="B35" s="1037">
        <v>2.36</v>
      </c>
      <c r="C35" s="1054">
        <f t="shared" si="3"/>
        <v>80.7</v>
      </c>
      <c r="D35" s="1047">
        <f t="shared" ref="D35:D47" si="9">C35/$L$29*$F$34</f>
        <v>6.9851908527886248</v>
      </c>
      <c r="E35" s="1047">
        <f t="shared" si="8"/>
        <v>44.509934217564506</v>
      </c>
      <c r="F35" s="1048">
        <f>100-E35</f>
        <v>55.490065782435494</v>
      </c>
      <c r="G35" s="1040" t="str">
        <f t="shared" si="6"/>
        <v>-</v>
      </c>
      <c r="H35" s="1041" t="str">
        <f t="shared" si="7"/>
        <v>-</v>
      </c>
      <c r="I35" s="1197" t="s">
        <v>570</v>
      </c>
      <c r="J35" s="1049"/>
      <c r="K35" s="1050"/>
      <c r="L35" s="1206">
        <f>+'D4318'!F60</f>
        <v>19.384789509554913</v>
      </c>
      <c r="M35" s="50"/>
      <c r="N35" s="1"/>
      <c r="O35" s="596" t="s">
        <v>23</v>
      </c>
      <c r="P35" s="952">
        <v>3284</v>
      </c>
      <c r="Q35" s="562"/>
      <c r="R35" s="954">
        <v>610.5</v>
      </c>
      <c r="S35" s="576" t="s">
        <v>345</v>
      </c>
      <c r="T35" s="577"/>
      <c r="U35" s="562"/>
      <c r="V35" s="599">
        <v>3</v>
      </c>
      <c r="W35" s="600">
        <v>622.29999999999995</v>
      </c>
      <c r="AC35" s="674" t="s">
        <v>28</v>
      </c>
      <c r="AD35" s="678">
        <v>2.36</v>
      </c>
      <c r="AE35" s="596"/>
      <c r="AF35" s="642"/>
      <c r="AG35" s="596"/>
      <c r="AH35" s="596"/>
      <c r="AI35" s="596"/>
      <c r="AJ35" s="596"/>
      <c r="AK35" s="596" t="s">
        <v>217</v>
      </c>
      <c r="AL35" s="596" t="s">
        <v>217</v>
      </c>
      <c r="AM35" s="596"/>
      <c r="AN35" s="596"/>
      <c r="AO35" s="596"/>
      <c r="AP35" s="596"/>
      <c r="AQ35" s="596"/>
      <c r="AR35" s="596"/>
      <c r="AS35" s="596"/>
      <c r="AT35" s="596"/>
    </row>
    <row r="36" spans="1:46" ht="15" customHeight="1">
      <c r="A36" s="1057" t="s">
        <v>29</v>
      </c>
      <c r="B36" s="1045">
        <v>2</v>
      </c>
      <c r="C36" s="1054">
        <f t="shared" si="3"/>
        <v>33.700000000000003</v>
      </c>
      <c r="D36" s="1047">
        <f t="shared" si="9"/>
        <v>2.9169880017221397</v>
      </c>
      <c r="E36" s="1047">
        <f t="shared" si="8"/>
        <v>47.426922219286645</v>
      </c>
      <c r="F36" s="1048">
        <f>100-E36</f>
        <v>52.573077780713355</v>
      </c>
      <c r="G36" s="1040" t="str">
        <f t="shared" si="6"/>
        <v>-</v>
      </c>
      <c r="H36" s="1041" t="str">
        <f t="shared" si="7"/>
        <v>-</v>
      </c>
      <c r="I36" s="1197" t="s">
        <v>581</v>
      </c>
      <c r="J36" s="1049"/>
      <c r="K36" s="1050"/>
      <c r="L36" s="1206">
        <f>+'D4318'!F61</f>
        <v>11.615210490445087</v>
      </c>
      <c r="M36" s="423"/>
      <c r="N36" s="1"/>
      <c r="O36" s="596" t="s">
        <v>25</v>
      </c>
      <c r="P36" s="952">
        <v>5458</v>
      </c>
      <c r="Q36" s="562"/>
      <c r="R36" s="1014">
        <f>+IFERROR(((R33-R34)/(R34-R35))*100,"")</f>
        <v>9.8538067210935747</v>
      </c>
      <c r="S36" s="576" t="s">
        <v>65</v>
      </c>
      <c r="T36" s="577"/>
      <c r="U36" s="562"/>
      <c r="V36" s="599">
        <v>4</v>
      </c>
      <c r="W36" s="600">
        <v>423.3</v>
      </c>
      <c r="AC36" s="674" t="s">
        <v>29</v>
      </c>
      <c r="AD36" s="678">
        <v>2</v>
      </c>
      <c r="AE36" s="596"/>
      <c r="AF36" s="673"/>
      <c r="AG36" s="596">
        <v>20</v>
      </c>
      <c r="AH36" s="596">
        <v>45</v>
      </c>
      <c r="AI36" s="596">
        <v>25</v>
      </c>
      <c r="AJ36" s="596">
        <v>50</v>
      </c>
      <c r="AK36" s="596" t="s">
        <v>217</v>
      </c>
      <c r="AL36" s="596" t="s">
        <v>217</v>
      </c>
      <c r="AM36" s="596">
        <v>15</v>
      </c>
      <c r="AN36" s="596">
        <v>40</v>
      </c>
      <c r="AO36" s="596">
        <v>20</v>
      </c>
      <c r="AP36" s="596">
        <v>45</v>
      </c>
      <c r="AQ36" s="596">
        <v>25</v>
      </c>
      <c r="AR36" s="596">
        <v>50</v>
      </c>
      <c r="AS36" s="596">
        <v>40</v>
      </c>
      <c r="AT36" s="596">
        <v>70</v>
      </c>
    </row>
    <row r="37" spans="1:46" ht="15" customHeight="1">
      <c r="A37" s="1057" t="s">
        <v>32</v>
      </c>
      <c r="B37" s="1045">
        <v>1.19</v>
      </c>
      <c r="C37" s="1054">
        <f t="shared" si="3"/>
        <v>102.2</v>
      </c>
      <c r="D37" s="1047">
        <f t="shared" si="9"/>
        <v>8.8461772633828684</v>
      </c>
      <c r="E37" s="1047">
        <f t="shared" ref="E37:E45" si="10">+E36+D37</f>
        <v>56.273099482669515</v>
      </c>
      <c r="F37" s="1048">
        <f t="shared" ref="F37:F45" si="11">100-E37</f>
        <v>43.726900517330485</v>
      </c>
      <c r="G37" s="1040" t="str">
        <f t="shared" si="6"/>
        <v>-</v>
      </c>
      <c r="H37" s="1041" t="str">
        <f t="shared" si="7"/>
        <v>-</v>
      </c>
      <c r="I37" s="1197" t="s">
        <v>568</v>
      </c>
      <c r="J37" s="1049"/>
      <c r="K37" s="1055"/>
      <c r="L37" s="1056" t="str">
        <f>AB8</f>
        <v>SC</v>
      </c>
      <c r="M37" s="50"/>
      <c r="N37" s="1"/>
      <c r="O37" s="596" t="s">
        <v>27</v>
      </c>
      <c r="P37" s="952">
        <v>3514</v>
      </c>
      <c r="Q37" s="562"/>
      <c r="R37" s="579">
        <f>R29</f>
        <v>81228</v>
      </c>
      <c r="S37" s="571" t="s">
        <v>347</v>
      </c>
      <c r="T37" s="572"/>
      <c r="U37" s="562"/>
      <c r="V37" s="599">
        <v>5</v>
      </c>
      <c r="W37" s="600">
        <v>425</v>
      </c>
      <c r="AC37" s="674" t="s">
        <v>32</v>
      </c>
      <c r="AD37" s="678">
        <v>1.19</v>
      </c>
      <c r="AE37" s="596"/>
      <c r="AF37" s="642"/>
      <c r="AG37" s="596"/>
      <c r="AH37" s="596"/>
      <c r="AI37" s="596"/>
      <c r="AJ37" s="596"/>
      <c r="AK37" s="596" t="s">
        <v>217</v>
      </c>
      <c r="AL37" s="596" t="s">
        <v>217</v>
      </c>
      <c r="AM37" s="596"/>
      <c r="AN37" s="596"/>
      <c r="AO37" s="596"/>
      <c r="AP37" s="596"/>
      <c r="AQ37" s="596"/>
      <c r="AR37" s="596"/>
      <c r="AS37" s="596"/>
      <c r="AT37" s="596"/>
    </row>
    <row r="38" spans="1:46" ht="15" customHeight="1">
      <c r="A38" s="1057" t="s">
        <v>34</v>
      </c>
      <c r="B38" s="1045">
        <v>0.84</v>
      </c>
      <c r="C38" s="1054">
        <f t="shared" si="3"/>
        <v>60.9</v>
      </c>
      <c r="D38" s="1047">
        <f t="shared" si="9"/>
        <v>5.2713522048925308</v>
      </c>
      <c r="E38" s="1047">
        <f t="shared" si="10"/>
        <v>61.544451687562045</v>
      </c>
      <c r="F38" s="1048">
        <f t="shared" si="11"/>
        <v>38.455548312437955</v>
      </c>
      <c r="G38" s="1040" t="str">
        <f t="shared" si="6"/>
        <v>-</v>
      </c>
      <c r="H38" s="1041" t="str">
        <f>IF($G$16="A",AF38, IF($G$16="B",AH38, IF($G$16="C",AJ38, IF($G$16="D",AL38,""))))</f>
        <v>-</v>
      </c>
      <c r="I38" s="1207" t="s">
        <v>582</v>
      </c>
      <c r="J38" s="1198"/>
      <c r="K38" s="1198"/>
      <c r="L38" s="1200"/>
      <c r="M38" s="50"/>
      <c r="N38" s="1"/>
      <c r="O38" s="596" t="s">
        <v>28</v>
      </c>
      <c r="P38" s="952">
        <v>80.7</v>
      </c>
      <c r="Q38" s="562"/>
      <c r="R38" s="578">
        <f>+IFERROR((R37/(100+R36)*100),"")</f>
        <v>73941.907362599391</v>
      </c>
      <c r="S38" s="576" t="s">
        <v>348</v>
      </c>
      <c r="T38" s="577"/>
      <c r="U38" s="562"/>
      <c r="V38" s="599">
        <v>6</v>
      </c>
      <c r="W38" s="600">
        <v>432.8</v>
      </c>
      <c r="AC38" s="674" t="s">
        <v>34</v>
      </c>
      <c r="AD38" s="678">
        <v>0.84</v>
      </c>
      <c r="AE38" s="596"/>
      <c r="AF38" s="673"/>
      <c r="AG38" s="596"/>
      <c r="AH38" s="596"/>
      <c r="AI38" s="596"/>
      <c r="AJ38" s="596"/>
      <c r="AK38" s="596" t="s">
        <v>217</v>
      </c>
      <c r="AL38" s="596" t="s">
        <v>217</v>
      </c>
      <c r="AM38" s="596"/>
      <c r="AN38" s="596"/>
      <c r="AO38" s="596"/>
      <c r="AP38" s="596"/>
      <c r="AQ38" s="596"/>
      <c r="AR38" s="596"/>
      <c r="AS38" s="596"/>
      <c r="AT38" s="596"/>
    </row>
    <row r="39" spans="1:46" ht="15" customHeight="1">
      <c r="A39" s="1057" t="s">
        <v>36</v>
      </c>
      <c r="B39" s="1045">
        <v>0.6</v>
      </c>
      <c r="C39" s="1054">
        <f t="shared" si="3"/>
        <v>56</v>
      </c>
      <c r="D39" s="1047">
        <f t="shared" si="9"/>
        <v>4.8472204182919825</v>
      </c>
      <c r="E39" s="1047">
        <f t="shared" ref="E39:E44" si="12">+E38+D39</f>
        <v>66.391672105854028</v>
      </c>
      <c r="F39" s="1048">
        <f t="shared" si="11"/>
        <v>33.608327894145972</v>
      </c>
      <c r="G39" s="1040" t="str">
        <f t="shared" si="6"/>
        <v>-</v>
      </c>
      <c r="H39" s="1041" t="str">
        <f t="shared" si="7"/>
        <v>-</v>
      </c>
      <c r="I39" s="1058" t="s">
        <v>30</v>
      </c>
      <c r="J39" s="1059"/>
      <c r="K39" s="1060"/>
      <c r="L39" s="1205">
        <f>+F17-F25</f>
        <v>3.6627434586666539</v>
      </c>
      <c r="M39" s="50"/>
      <c r="N39" s="1"/>
      <c r="O39" s="596" t="s">
        <v>29</v>
      </c>
      <c r="P39" s="952">
        <v>33.700000000000003</v>
      </c>
      <c r="Q39" s="562"/>
      <c r="R39" s="579">
        <f>R52</f>
        <v>792.9</v>
      </c>
      <c r="S39" s="576" t="s">
        <v>350</v>
      </c>
      <c r="T39" s="577"/>
      <c r="U39" s="562"/>
      <c r="V39" s="599">
        <v>7</v>
      </c>
      <c r="W39" s="600">
        <v>427</v>
      </c>
      <c r="AC39" s="674" t="s">
        <v>36</v>
      </c>
      <c r="AD39" s="678">
        <v>0.6</v>
      </c>
      <c r="AE39" s="596"/>
      <c r="AF39" s="642"/>
      <c r="AG39" s="596"/>
      <c r="AH39" s="596"/>
      <c r="AI39" s="596"/>
      <c r="AJ39" s="596"/>
      <c r="AK39" s="596" t="s">
        <v>217</v>
      </c>
      <c r="AL39" s="596" t="s">
        <v>217</v>
      </c>
      <c r="AM39" s="596"/>
      <c r="AN39" s="596"/>
      <c r="AO39" s="596"/>
      <c r="AP39" s="596"/>
      <c r="AQ39" s="596"/>
      <c r="AR39" s="596"/>
      <c r="AS39" s="596"/>
      <c r="AT39" s="596"/>
    </row>
    <row r="40" spans="1:46" ht="15" customHeight="1">
      <c r="A40" s="1057" t="s">
        <v>38</v>
      </c>
      <c r="B40" s="1045">
        <v>0.42499999999999999</v>
      </c>
      <c r="C40" s="1054">
        <f t="shared" si="3"/>
        <v>47.4</v>
      </c>
      <c r="D40" s="1047">
        <f t="shared" si="9"/>
        <v>4.1028258540542843</v>
      </c>
      <c r="E40" s="1047">
        <f t="shared" si="12"/>
        <v>70.494497959908315</v>
      </c>
      <c r="F40" s="1048">
        <f t="shared" si="11"/>
        <v>29.505502040091685</v>
      </c>
      <c r="G40" s="1040" t="str">
        <f t="shared" si="6"/>
        <v>-</v>
      </c>
      <c r="H40" s="1041" t="str">
        <f t="shared" si="7"/>
        <v>-</v>
      </c>
      <c r="I40" s="1061" t="s">
        <v>33</v>
      </c>
      <c r="J40" s="1062"/>
      <c r="K40" s="1063"/>
      <c r="L40" s="1205">
        <f>+F25-F34</f>
        <v>33.861999906109226</v>
      </c>
      <c r="M40" s="50"/>
      <c r="N40" s="1"/>
      <c r="O40" s="596" t="s">
        <v>32</v>
      </c>
      <c r="P40" s="952">
        <v>102.2</v>
      </c>
      <c r="R40" s="579">
        <f>R51</f>
        <v>615.9</v>
      </c>
      <c r="S40" s="576" t="s">
        <v>345</v>
      </c>
      <c r="T40" s="577"/>
      <c r="U40" s="562"/>
      <c r="V40" s="599">
        <v>8</v>
      </c>
      <c r="W40" s="600">
        <v>436.4</v>
      </c>
      <c r="AC40" s="674" t="s">
        <v>38</v>
      </c>
      <c r="AD40" s="678">
        <v>0.42499999999999999</v>
      </c>
      <c r="AE40" s="596"/>
      <c r="AF40" s="642"/>
      <c r="AG40" s="596">
        <v>15</v>
      </c>
      <c r="AH40" s="596">
        <v>30</v>
      </c>
      <c r="AI40" s="596">
        <v>15</v>
      </c>
      <c r="AJ40" s="596">
        <v>30</v>
      </c>
      <c r="AK40" s="596" t="s">
        <v>217</v>
      </c>
      <c r="AL40" s="596" t="s">
        <v>217</v>
      </c>
      <c r="AM40" s="596">
        <v>8</v>
      </c>
      <c r="AN40" s="596">
        <v>20</v>
      </c>
      <c r="AO40" s="596">
        <v>15</v>
      </c>
      <c r="AP40" s="596">
        <v>30</v>
      </c>
      <c r="AQ40" s="596">
        <v>15</v>
      </c>
      <c r="AR40" s="596">
        <v>30</v>
      </c>
      <c r="AS40" s="596">
        <v>25</v>
      </c>
      <c r="AT40" s="596">
        <v>45</v>
      </c>
    </row>
    <row r="41" spans="1:46" ht="15" customHeight="1" thickBot="1">
      <c r="A41" s="1057" t="s">
        <v>39</v>
      </c>
      <c r="B41" s="1045">
        <v>0.29699999999999999</v>
      </c>
      <c r="C41" s="1054">
        <f t="shared" si="3"/>
        <v>35.4</v>
      </c>
      <c r="D41" s="1047">
        <f t="shared" si="9"/>
        <v>3.0641357644202887</v>
      </c>
      <c r="E41" s="1047">
        <f t="shared" si="12"/>
        <v>73.558633724328601</v>
      </c>
      <c r="F41" s="1048">
        <f t="shared" si="11"/>
        <v>26.441366275671399</v>
      </c>
      <c r="G41" s="1040" t="str">
        <f t="shared" si="6"/>
        <v>-</v>
      </c>
      <c r="H41" s="1041" t="str">
        <f t="shared" si="7"/>
        <v>-</v>
      </c>
      <c r="I41" s="1061" t="s">
        <v>35</v>
      </c>
      <c r="J41" s="1064"/>
      <c r="K41" s="1065"/>
      <c r="L41" s="1205">
        <f>+F34-F46</f>
        <v>45.148395896091039</v>
      </c>
      <c r="M41" s="50"/>
      <c r="N41" s="1"/>
      <c r="O41" s="596" t="s">
        <v>34</v>
      </c>
      <c r="P41" s="952">
        <v>60.9</v>
      </c>
      <c r="Q41" s="562"/>
      <c r="R41" s="586">
        <f>+IFERROR((R39/(100+R36)*100),"")</f>
        <v>721.77744555824415</v>
      </c>
      <c r="S41" s="580" t="s">
        <v>66</v>
      </c>
      <c r="T41" s="581"/>
      <c r="U41" s="562"/>
      <c r="V41" s="599">
        <v>9</v>
      </c>
      <c r="W41" s="600">
        <v>422.1</v>
      </c>
      <c r="AC41" s="674" t="s">
        <v>39</v>
      </c>
      <c r="AD41" s="678">
        <v>0.29699999999999999</v>
      </c>
      <c r="AE41" s="596"/>
      <c r="AF41" s="642"/>
      <c r="AG41" s="596"/>
      <c r="AH41" s="596"/>
      <c r="AI41" s="596"/>
      <c r="AJ41" s="596"/>
      <c r="AK41" s="596" t="s">
        <v>217</v>
      </c>
      <c r="AL41" s="596" t="s">
        <v>217</v>
      </c>
      <c r="AM41" s="596"/>
      <c r="AN41" s="596"/>
      <c r="AO41" s="596"/>
      <c r="AP41" s="596"/>
      <c r="AQ41" s="596"/>
      <c r="AR41" s="596"/>
      <c r="AS41" s="596"/>
      <c r="AT41" s="596"/>
    </row>
    <row r="42" spans="1:46" ht="15" customHeight="1">
      <c r="A42" s="1057" t="s">
        <v>40</v>
      </c>
      <c r="B42" s="1045">
        <v>0.25</v>
      </c>
      <c r="C42" s="1054">
        <f>+P46</f>
        <v>19.399999999999999</v>
      </c>
      <c r="D42" s="1047">
        <f t="shared" si="9"/>
        <v>1.6792156449082938</v>
      </c>
      <c r="E42" s="1047">
        <f t="shared" si="12"/>
        <v>75.237849369236898</v>
      </c>
      <c r="F42" s="1048">
        <f t="shared" si="11"/>
        <v>24.762150630763102</v>
      </c>
      <c r="G42" s="1040" t="str">
        <f t="shared" si="6"/>
        <v>-</v>
      </c>
      <c r="H42" s="1041" t="str">
        <f t="shared" si="7"/>
        <v>-</v>
      </c>
      <c r="I42" s="1061" t="s">
        <v>37</v>
      </c>
      <c r="J42" s="1062"/>
      <c r="K42" s="1063"/>
      <c r="L42" s="1205">
        <f>+F46</f>
        <v>17.326860739133082</v>
      </c>
      <c r="M42" s="50"/>
      <c r="N42" s="1"/>
      <c r="O42" s="596" t="s">
        <v>36</v>
      </c>
      <c r="P42" s="952">
        <v>56</v>
      </c>
      <c r="Q42" s="562"/>
      <c r="R42" s="587">
        <f>SUM(P38:P49)</f>
        <v>521.59999999999991</v>
      </c>
      <c r="S42" s="582" t="s">
        <v>67</v>
      </c>
      <c r="T42" s="583"/>
      <c r="U42" s="562"/>
      <c r="V42" s="599">
        <v>10</v>
      </c>
      <c r="W42" s="600">
        <v>425.1</v>
      </c>
      <c r="AC42" s="674" t="s">
        <v>40</v>
      </c>
      <c r="AD42" s="678">
        <v>0.25</v>
      </c>
      <c r="AE42" s="596"/>
      <c r="AF42" s="642"/>
      <c r="AG42" s="596"/>
      <c r="AH42" s="596"/>
      <c r="AI42" s="596"/>
      <c r="AJ42" s="596"/>
      <c r="AK42" s="596" t="s">
        <v>217</v>
      </c>
      <c r="AL42" s="596" t="s">
        <v>217</v>
      </c>
      <c r="AM42" s="596"/>
      <c r="AN42" s="596"/>
      <c r="AO42" s="596"/>
      <c r="AP42" s="596"/>
      <c r="AQ42" s="596"/>
      <c r="AR42" s="596"/>
      <c r="AS42" s="596"/>
      <c r="AT42" s="596"/>
    </row>
    <row r="43" spans="1:46" ht="15" customHeight="1" thickBot="1">
      <c r="A43" s="1057" t="s">
        <v>41</v>
      </c>
      <c r="B43" s="1045">
        <v>0.17699999999999999</v>
      </c>
      <c r="C43" s="1054">
        <f>+P47</f>
        <v>27.7</v>
      </c>
      <c r="D43" s="1047">
        <f t="shared" si="9"/>
        <v>2.3976429569051412</v>
      </c>
      <c r="E43" s="1047">
        <f t="shared" si="12"/>
        <v>77.635492326142042</v>
      </c>
      <c r="F43" s="1048">
        <f>100-E43</f>
        <v>22.364507673857958</v>
      </c>
      <c r="G43" s="1040" t="str">
        <f t="shared" si="6"/>
        <v>-</v>
      </c>
      <c r="H43" s="1041" t="str">
        <f t="shared" si="7"/>
        <v>-</v>
      </c>
      <c r="I43" s="1061" t="s">
        <v>573</v>
      </c>
      <c r="J43" s="1042"/>
      <c r="K43" s="1042"/>
      <c r="L43" s="1205">
        <f>SUM(L39:L42)</f>
        <v>100</v>
      </c>
      <c r="M43" s="50"/>
      <c r="N43" s="1"/>
      <c r="O43" s="596" t="s">
        <v>38</v>
      </c>
      <c r="P43" s="952">
        <v>47.4</v>
      </c>
      <c r="Q43" s="562"/>
      <c r="R43" s="588">
        <f>+IFERROR((R42/R41),"")</f>
        <v>0.7226604311479683</v>
      </c>
      <c r="S43" s="584" t="s">
        <v>68</v>
      </c>
      <c r="T43" s="585"/>
      <c r="U43" s="562"/>
      <c r="V43" s="599">
        <v>11</v>
      </c>
      <c r="W43" s="600">
        <v>670</v>
      </c>
      <c r="AC43" s="674" t="s">
        <v>41</v>
      </c>
      <c r="AD43" s="678">
        <v>0.17699999999999999</v>
      </c>
      <c r="AE43" s="596"/>
      <c r="AF43" s="673"/>
      <c r="AG43" s="596"/>
      <c r="AH43" s="596"/>
      <c r="AI43" s="596"/>
      <c r="AJ43" s="596"/>
      <c r="AK43" s="596" t="s">
        <v>217</v>
      </c>
      <c r="AL43" s="596" t="s">
        <v>217</v>
      </c>
      <c r="AM43" s="596"/>
      <c r="AN43" s="596"/>
      <c r="AO43" s="596"/>
      <c r="AP43" s="596"/>
      <c r="AQ43" s="596"/>
      <c r="AR43" s="596"/>
      <c r="AS43" s="596"/>
      <c r="AT43" s="596"/>
    </row>
    <row r="44" spans="1:46" ht="15" customHeight="1">
      <c r="A44" s="1046" t="s">
        <v>42</v>
      </c>
      <c r="B44" s="1045">
        <v>0.15</v>
      </c>
      <c r="C44" s="1054">
        <f>+P48</f>
        <v>15</v>
      </c>
      <c r="D44" s="1047">
        <f t="shared" si="9"/>
        <v>1.2983626120424951</v>
      </c>
      <c r="E44" s="1047">
        <f t="shared" si="12"/>
        <v>78.933854938184538</v>
      </c>
      <c r="F44" s="1048">
        <f t="shared" si="11"/>
        <v>21.066145061815462</v>
      </c>
      <c r="G44" s="1040" t="str">
        <f t="shared" si="6"/>
        <v>-</v>
      </c>
      <c r="H44" s="1041" t="str">
        <f t="shared" si="7"/>
        <v>-</v>
      </c>
      <c r="I44" s="1207" t="s">
        <v>339</v>
      </c>
      <c r="J44" s="1066"/>
      <c r="K44" s="1066"/>
      <c r="L44" s="1067"/>
      <c r="M44" s="50"/>
      <c r="N44" s="1"/>
      <c r="O44" s="596" t="s">
        <v>39</v>
      </c>
      <c r="P44" s="952">
        <v>35.4</v>
      </c>
      <c r="Q44" s="562"/>
      <c r="R44" s="972"/>
      <c r="S44" s="971"/>
      <c r="T44" s="562"/>
      <c r="U44" s="562"/>
      <c r="V44" s="599">
        <v>12</v>
      </c>
      <c r="W44" s="600">
        <v>664.4</v>
      </c>
      <c r="AC44" s="679" t="s">
        <v>42</v>
      </c>
      <c r="AD44" s="678">
        <v>0.15</v>
      </c>
      <c r="AE44" s="642"/>
      <c r="AF44" s="642"/>
      <c r="AG44" s="596"/>
      <c r="AH44" s="596"/>
      <c r="AI44" s="596"/>
      <c r="AJ44" s="596"/>
      <c r="AK44" s="596" t="s">
        <v>217</v>
      </c>
      <c r="AL44" s="596" t="s">
        <v>217</v>
      </c>
      <c r="AM44" s="596"/>
      <c r="AN44" s="596"/>
      <c r="AO44" s="596"/>
      <c r="AP44" s="596"/>
      <c r="AQ44" s="596"/>
      <c r="AR44" s="596"/>
      <c r="AS44" s="596"/>
      <c r="AT44" s="596"/>
    </row>
    <row r="45" spans="1:46" ht="21.75" hidden="1" customHeight="1">
      <c r="A45" s="1046" t="s">
        <v>336</v>
      </c>
      <c r="B45" s="1045">
        <v>0.106</v>
      </c>
      <c r="C45" s="1054">
        <v>0</v>
      </c>
      <c r="D45" s="1047">
        <f t="shared" si="9"/>
        <v>0</v>
      </c>
      <c r="E45" s="1047">
        <f t="shared" si="10"/>
        <v>78.933854938184538</v>
      </c>
      <c r="F45" s="1048">
        <f t="shared" si="11"/>
        <v>21.066145061815462</v>
      </c>
      <c r="G45" s="1040" t="str">
        <f t="shared" si="6"/>
        <v>-</v>
      </c>
      <c r="H45" s="1041" t="str">
        <f t="shared" si="7"/>
        <v>-</v>
      </c>
      <c r="I45" s="1208"/>
      <c r="J45" s="1066"/>
      <c r="K45" s="1066"/>
      <c r="L45" s="1067"/>
      <c r="M45" s="50"/>
      <c r="N45" s="1"/>
      <c r="AC45" s="679" t="s">
        <v>336</v>
      </c>
      <c r="AD45" s="678">
        <v>0.106</v>
      </c>
      <c r="AE45" s="642"/>
      <c r="AF45" s="642"/>
      <c r="AG45" s="596"/>
      <c r="AH45" s="596"/>
      <c r="AI45" s="596"/>
      <c r="AJ45" s="596"/>
      <c r="AK45" s="596" t="s">
        <v>217</v>
      </c>
      <c r="AL45" s="596" t="s">
        <v>217</v>
      </c>
      <c r="AM45" s="596"/>
      <c r="AN45" s="596"/>
      <c r="AO45" s="596"/>
      <c r="AP45" s="596"/>
      <c r="AQ45" s="596"/>
      <c r="AR45" s="596"/>
      <c r="AS45" s="596"/>
      <c r="AT45" s="596"/>
    </row>
    <row r="46" spans="1:46" ht="15" customHeight="1">
      <c r="A46" s="1046" t="s">
        <v>43</v>
      </c>
      <c r="B46" s="1045">
        <v>7.4999999999999997E-2</v>
      </c>
      <c r="C46" s="1054">
        <f>+P49</f>
        <v>43.2</v>
      </c>
      <c r="D46" s="1047">
        <f t="shared" si="9"/>
        <v>3.7392843226823866</v>
      </c>
      <c r="E46" s="1047">
        <f>+E45+D46</f>
        <v>82.673139260866918</v>
      </c>
      <c r="F46" s="1068">
        <f>100-E46</f>
        <v>17.326860739133082</v>
      </c>
      <c r="G46" s="1069" t="str">
        <f t="shared" si="6"/>
        <v>-</v>
      </c>
      <c r="H46" s="1041" t="str">
        <f t="shared" si="7"/>
        <v>-</v>
      </c>
      <c r="I46" s="1209" t="str">
        <f>CONCATENATE(AB8,AD8)</f>
        <v>SC - Arena Arcillosa con grava</v>
      </c>
      <c r="J46" s="1066"/>
      <c r="K46" s="1210"/>
      <c r="L46" s="1067"/>
      <c r="M46" s="50"/>
      <c r="N46" s="1"/>
      <c r="O46" s="596" t="s">
        <v>40</v>
      </c>
      <c r="P46" s="952">
        <v>19.399999999999999</v>
      </c>
      <c r="Q46" s="562"/>
      <c r="R46" s="973">
        <f>R41+R40</f>
        <v>1337.677445558244</v>
      </c>
      <c r="S46" s="959"/>
      <c r="T46" s="973">
        <f>R50-(R42+R40)</f>
        <v>1.4000000000000909</v>
      </c>
      <c r="U46" s="562"/>
      <c r="V46" s="599">
        <v>13</v>
      </c>
      <c r="W46" s="600">
        <v>658.3</v>
      </c>
      <c r="AC46" s="679" t="s">
        <v>43</v>
      </c>
      <c r="AD46" s="678">
        <v>7.4999999999999997E-2</v>
      </c>
      <c r="AE46" s="596">
        <v>0</v>
      </c>
      <c r="AF46" s="642">
        <v>10</v>
      </c>
      <c r="AG46" s="596">
        <v>5</v>
      </c>
      <c r="AH46" s="596">
        <v>15</v>
      </c>
      <c r="AI46" s="596">
        <v>5</v>
      </c>
      <c r="AJ46" s="596">
        <v>15</v>
      </c>
      <c r="AK46" s="596" t="s">
        <v>217</v>
      </c>
      <c r="AL46" s="596" t="s">
        <v>217</v>
      </c>
      <c r="AM46" s="596">
        <v>2</v>
      </c>
      <c r="AN46" s="596">
        <v>8</v>
      </c>
      <c r="AO46" s="596">
        <v>5</v>
      </c>
      <c r="AP46" s="596">
        <v>15</v>
      </c>
      <c r="AQ46" s="596">
        <v>5</v>
      </c>
      <c r="AR46" s="596">
        <v>15</v>
      </c>
      <c r="AS46" s="596">
        <v>8</v>
      </c>
      <c r="AT46" s="596">
        <v>15</v>
      </c>
    </row>
    <row r="47" spans="1:46" ht="15" customHeight="1">
      <c r="A47" s="1051" t="s">
        <v>44</v>
      </c>
      <c r="B47" s="1070" t="s">
        <v>45</v>
      </c>
      <c r="C47" s="1071">
        <f>L29-SUM(C35:C46)</f>
        <v>200.17744555824424</v>
      </c>
      <c r="D47" s="1052">
        <f t="shared" si="9"/>
        <v>17.326860739133092</v>
      </c>
      <c r="E47" s="1072">
        <f>+E46+D47</f>
        <v>100.00000000000001</v>
      </c>
      <c r="F47" s="1073">
        <f>100-E47</f>
        <v>0</v>
      </c>
      <c r="G47" s="1074"/>
      <c r="H47" s="1075"/>
      <c r="I47" s="1076"/>
      <c r="J47" s="1077"/>
      <c r="K47" s="1077"/>
      <c r="L47" s="1078"/>
      <c r="M47" s="1414"/>
      <c r="N47" s="1415"/>
      <c r="O47" s="596" t="s">
        <v>41</v>
      </c>
      <c r="P47" s="952">
        <v>27.7</v>
      </c>
      <c r="Q47" s="562"/>
      <c r="R47" s="914" t="s">
        <v>463</v>
      </c>
      <c r="S47" s="915"/>
      <c r="T47" s="916"/>
      <c r="U47" s="562"/>
      <c r="V47" s="599">
        <v>14</v>
      </c>
      <c r="W47" s="600">
        <v>661.2</v>
      </c>
      <c r="AC47" s="679" t="s">
        <v>44</v>
      </c>
      <c r="AD47" s="680" t="s">
        <v>45</v>
      </c>
      <c r="AE47" s="596"/>
      <c r="AF47" s="642"/>
      <c r="AG47" s="596"/>
      <c r="AH47" s="596"/>
      <c r="AI47" s="596"/>
      <c r="AJ47" s="596"/>
      <c r="AK47" s="596" t="s">
        <v>217</v>
      </c>
      <c r="AL47" s="596" t="s">
        <v>217</v>
      </c>
      <c r="AM47" s="596"/>
      <c r="AN47" s="596"/>
      <c r="AO47" s="596"/>
      <c r="AP47" s="596"/>
      <c r="AQ47" s="596"/>
      <c r="AR47" s="596"/>
      <c r="AS47" s="596"/>
      <c r="AT47" s="596"/>
    </row>
    <row r="48" spans="1:46" ht="15" customHeight="1">
      <c r="A48" s="1446" t="s">
        <v>475</v>
      </c>
      <c r="B48" s="1447"/>
      <c r="C48" s="1447"/>
      <c r="D48" s="1447"/>
      <c r="E48" s="1447"/>
      <c r="F48" s="1447"/>
      <c r="G48" s="1447"/>
      <c r="H48" s="1447"/>
      <c r="I48" s="1447"/>
      <c r="J48" s="1447"/>
      <c r="K48" s="1447"/>
      <c r="L48" s="1448"/>
      <c r="O48" s="596" t="s">
        <v>42</v>
      </c>
      <c r="P48" s="952">
        <v>15</v>
      </c>
      <c r="Q48" s="562"/>
      <c r="R48" s="573" t="s">
        <v>845</v>
      </c>
      <c r="S48" s="568" t="s">
        <v>346</v>
      </c>
      <c r="T48" s="569"/>
      <c r="U48" s="562"/>
      <c r="V48" s="599">
        <v>15</v>
      </c>
      <c r="W48" s="600">
        <v>662.9</v>
      </c>
    </row>
    <row r="49" spans="1:46" ht="15" customHeight="1">
      <c r="A49" s="510"/>
      <c r="B49" s="1163"/>
      <c r="C49" s="1163"/>
      <c r="D49" s="1164"/>
      <c r="E49" s="1165"/>
      <c r="F49" s="1166"/>
      <c r="G49" s="1164"/>
      <c r="H49" s="1164"/>
      <c r="I49" s="1164"/>
      <c r="J49" s="1164"/>
      <c r="K49" s="1164"/>
      <c r="L49" s="511"/>
      <c r="O49" s="596" t="s">
        <v>43</v>
      </c>
      <c r="P49" s="952">
        <v>43.2</v>
      </c>
      <c r="Q49" s="562"/>
      <c r="R49" s="593">
        <v>1408.8</v>
      </c>
      <c r="S49" s="591" t="s">
        <v>350</v>
      </c>
      <c r="T49" s="592"/>
      <c r="U49" s="562"/>
      <c r="V49" s="599">
        <v>16</v>
      </c>
      <c r="W49" s="600">
        <v>665.4</v>
      </c>
      <c r="Z49" s="2"/>
      <c r="AB49" s="505"/>
      <c r="AC49" s="505"/>
      <c r="AD49" s="505"/>
      <c r="AE49" s="505"/>
      <c r="AF49" s="505"/>
      <c r="AG49" s="505"/>
      <c r="AH49" s="505"/>
      <c r="AI49" s="505"/>
      <c r="AJ49" s="505"/>
      <c r="AK49" s="505"/>
      <c r="AL49" s="505"/>
      <c r="AM49" s="505"/>
      <c r="AN49" s="505"/>
      <c r="AO49" s="2"/>
      <c r="AP49" s="2"/>
      <c r="AQ49" s="2"/>
      <c r="AR49" s="2"/>
      <c r="AS49" s="2"/>
      <c r="AT49" s="2"/>
    </row>
    <row r="50" spans="1:46" ht="15" customHeight="1">
      <c r="A50" s="512"/>
      <c r="B50" s="1164"/>
      <c r="C50" s="1164"/>
      <c r="D50" s="1164"/>
      <c r="E50" s="1164"/>
      <c r="F50" s="1164"/>
      <c r="G50" s="1164"/>
      <c r="H50" s="1164"/>
      <c r="I50" s="1164"/>
      <c r="J50" s="1164"/>
      <c r="K50" s="1164"/>
      <c r="L50" s="511"/>
      <c r="O50" s="596" t="s">
        <v>575</v>
      </c>
      <c r="P50" s="952">
        <v>1.4</v>
      </c>
      <c r="Q50" s="562"/>
      <c r="R50" s="593">
        <v>1138.9000000000001</v>
      </c>
      <c r="S50" s="591" t="s">
        <v>574</v>
      </c>
      <c r="T50" s="592"/>
      <c r="U50" s="562"/>
      <c r="V50" s="599">
        <v>17</v>
      </c>
      <c r="W50" s="600">
        <v>659.1</v>
      </c>
      <c r="Z50" s="2"/>
      <c r="AA50" s="505"/>
      <c r="AB50" s="505"/>
      <c r="AC50" s="505"/>
      <c r="AD50" s="505"/>
      <c r="AE50" s="505"/>
      <c r="AF50" s="505"/>
      <c r="AG50" s="505"/>
      <c r="AH50" s="505"/>
      <c r="AI50" s="505"/>
      <c r="AJ50" s="505"/>
      <c r="AK50" s="505"/>
      <c r="AL50" s="505"/>
      <c r="AM50" s="505"/>
      <c r="AN50" s="505"/>
      <c r="AO50" s="2"/>
      <c r="AP50" s="2"/>
      <c r="AQ50" s="2"/>
      <c r="AR50" s="2"/>
      <c r="AS50" s="2"/>
      <c r="AT50" s="2"/>
    </row>
    <row r="51" spans="1:46" ht="15" customHeight="1" thickBot="1">
      <c r="A51" s="512"/>
      <c r="B51" s="1164"/>
      <c r="C51" s="1164"/>
      <c r="D51" s="1164"/>
      <c r="E51" s="1164"/>
      <c r="F51" s="1164"/>
      <c r="G51" s="1164"/>
      <c r="H51" s="1164"/>
      <c r="I51" s="1164"/>
      <c r="J51" s="1164"/>
      <c r="K51" s="1164"/>
      <c r="L51" s="511"/>
      <c r="Q51" s="562"/>
      <c r="R51" s="954">
        <v>615.9</v>
      </c>
      <c r="S51" s="594" t="s">
        <v>345</v>
      </c>
      <c r="T51" s="595"/>
      <c r="U51" s="564"/>
      <c r="V51" s="599">
        <v>18</v>
      </c>
      <c r="W51" s="600">
        <v>657.1</v>
      </c>
      <c r="Z51" s="3"/>
      <c r="AA51" s="505"/>
      <c r="AB51" s="505"/>
      <c r="AC51" s="505"/>
      <c r="AD51" s="505"/>
      <c r="AE51" s="505"/>
      <c r="AF51" s="505"/>
      <c r="AG51" s="505"/>
      <c r="AH51" s="505"/>
      <c r="AI51" s="505"/>
      <c r="AJ51" s="505"/>
      <c r="AK51" s="505"/>
      <c r="AL51" s="505"/>
      <c r="AM51" s="505"/>
      <c r="AN51" s="505"/>
      <c r="AO51" s="2"/>
      <c r="AP51" s="2"/>
      <c r="AQ51" s="2"/>
      <c r="AR51" s="2"/>
      <c r="AS51" s="2"/>
      <c r="AT51" s="2"/>
    </row>
    <row r="52" spans="1:46" ht="15" customHeight="1">
      <c r="A52" s="512"/>
      <c r="B52" s="1164"/>
      <c r="C52" s="1164"/>
      <c r="D52" s="1164"/>
      <c r="E52" s="1164"/>
      <c r="F52" s="1164"/>
      <c r="G52" s="1164"/>
      <c r="H52" s="1164"/>
      <c r="I52" s="1164"/>
      <c r="J52" s="1164"/>
      <c r="K52" s="1164"/>
      <c r="L52" s="511"/>
      <c r="O52" s="892" t="s">
        <v>564</v>
      </c>
      <c r="P52" s="896">
        <v>125640</v>
      </c>
      <c r="Q52" s="562"/>
      <c r="R52" s="590">
        <f>R49-R51</f>
        <v>792.9</v>
      </c>
      <c r="S52" s="563" t="s">
        <v>457</v>
      </c>
      <c r="T52" s="565"/>
      <c r="V52" s="599">
        <v>19</v>
      </c>
      <c r="W52" s="600">
        <v>659.5</v>
      </c>
      <c r="AC52" s="2"/>
      <c r="AD52" s="2"/>
      <c r="AE52" s="2"/>
      <c r="AF52" s="2"/>
      <c r="AG52" s="2"/>
      <c r="AH52" s="2"/>
      <c r="AI52" s="2"/>
      <c r="AJ52" s="2"/>
      <c r="AK52" s="2"/>
      <c r="AL52" s="2"/>
      <c r="AM52" s="2"/>
      <c r="AN52" s="2"/>
      <c r="AO52" s="2"/>
      <c r="AP52" s="2"/>
      <c r="AQ52" s="2"/>
      <c r="AR52" s="2"/>
      <c r="AS52" s="2"/>
      <c r="AT52" s="2"/>
    </row>
    <row r="53" spans="1:46" ht="15" customHeight="1" thickBot="1">
      <c r="A53" s="512"/>
      <c r="B53" s="1164"/>
      <c r="C53" s="1164"/>
      <c r="D53" s="1164"/>
      <c r="E53" s="1164"/>
      <c r="F53" s="1164"/>
      <c r="G53" s="1164"/>
      <c r="H53" s="1164"/>
      <c r="I53" s="1164"/>
      <c r="J53" s="1164"/>
      <c r="K53" s="1164"/>
      <c r="L53" s="511"/>
      <c r="O53" s="941" t="s">
        <v>563</v>
      </c>
      <c r="P53" s="923"/>
      <c r="Q53" s="989" t="s">
        <v>341</v>
      </c>
      <c r="R53" s="973">
        <f>(R46-R50)+P50</f>
        <v>200.17744555824393</v>
      </c>
      <c r="V53" s="601">
        <v>20</v>
      </c>
      <c r="W53" s="602">
        <v>663.4</v>
      </c>
      <c r="AD53" s="2"/>
      <c r="AE53" s="2"/>
      <c r="AF53" s="2"/>
      <c r="AG53" s="2"/>
      <c r="AH53" s="2"/>
      <c r="AI53" s="2"/>
      <c r="AJ53" s="2"/>
      <c r="AK53" s="2"/>
      <c r="AL53" s="2"/>
      <c r="AM53" s="2"/>
      <c r="AN53" s="2"/>
      <c r="AO53" s="2"/>
      <c r="AP53" s="2"/>
      <c r="AQ53" s="2"/>
      <c r="AR53" s="2"/>
      <c r="AS53" s="2"/>
      <c r="AT53" s="2"/>
    </row>
    <row r="54" spans="1:46" ht="15" customHeight="1">
      <c r="A54" s="512"/>
      <c r="B54" s="1164"/>
      <c r="C54" s="1164"/>
      <c r="D54" s="1164"/>
      <c r="E54" s="1164"/>
      <c r="F54" s="1164"/>
      <c r="G54" s="1164"/>
      <c r="H54" s="1164"/>
      <c r="I54" s="1164"/>
      <c r="J54" s="1164"/>
      <c r="K54" s="1164"/>
      <c r="L54" s="511"/>
      <c r="O54" s="893">
        <f>+P52-O56</f>
        <v>72021.899999999994</v>
      </c>
      <c r="P54" s="894">
        <f>O54/P52*100</f>
        <v>57.324021012416424</v>
      </c>
      <c r="Q54" s="988">
        <f>W27/W30*100</f>
        <v>37.524743364775873</v>
      </c>
      <c r="R54" s="986" t="s">
        <v>462</v>
      </c>
      <c r="S54" s="925"/>
      <c r="T54" s="926"/>
      <c r="AD54" s="2"/>
      <c r="AE54" s="2"/>
      <c r="AF54" s="2"/>
      <c r="AG54" s="2"/>
      <c r="AH54" s="2"/>
      <c r="AI54" s="2"/>
      <c r="AJ54" s="2"/>
      <c r="AK54" s="2"/>
      <c r="AL54" s="2"/>
      <c r="AM54" s="2"/>
      <c r="AN54" s="2"/>
      <c r="AO54" s="2"/>
      <c r="AP54" s="2"/>
      <c r="AQ54" s="2"/>
      <c r="AR54" s="2"/>
      <c r="AS54" s="2"/>
      <c r="AT54" s="2"/>
    </row>
    <row r="55" spans="1:46" ht="15" customHeight="1">
      <c r="A55" s="512"/>
      <c r="B55" s="1164"/>
      <c r="C55" s="1164"/>
      <c r="D55" s="1164"/>
      <c r="E55" s="1164"/>
      <c r="F55" s="1164"/>
      <c r="G55" s="1164"/>
      <c r="H55" s="1164"/>
      <c r="I55" s="1164"/>
      <c r="J55" s="1164"/>
      <c r="K55" s="1164"/>
      <c r="L55" s="511"/>
      <c r="O55" s="941" t="s">
        <v>566</v>
      </c>
      <c r="P55" s="923"/>
      <c r="Q55" s="988"/>
      <c r="R55" s="912"/>
      <c r="S55" s="912"/>
      <c r="T55" s="913"/>
      <c r="U55" s="562"/>
      <c r="AD55" s="2"/>
      <c r="AE55" s="2"/>
      <c r="AF55" s="2"/>
      <c r="AG55" s="2"/>
      <c r="AH55" s="2"/>
      <c r="AI55" s="2"/>
      <c r="AJ55" s="2"/>
      <c r="AK55" s="505"/>
      <c r="AL55" s="2"/>
      <c r="AM55" s="2"/>
      <c r="AN55" s="2"/>
      <c r="AO55" s="2"/>
      <c r="AP55" s="2"/>
      <c r="AQ55" s="2"/>
      <c r="AR55" s="2"/>
      <c r="AS55" s="2"/>
      <c r="AT55" s="2"/>
    </row>
    <row r="56" spans="1:46" ht="15" customHeight="1" thickBot="1">
      <c r="A56" s="512"/>
      <c r="B56" s="1164"/>
      <c r="C56" s="1164"/>
      <c r="D56" s="1164"/>
      <c r="E56" s="1164"/>
      <c r="F56" s="1164"/>
      <c r="G56" s="1164"/>
      <c r="H56" s="1164"/>
      <c r="I56" s="1164"/>
      <c r="J56" s="1164"/>
      <c r="K56" s="1164"/>
      <c r="L56" s="511"/>
      <c r="O56" s="895">
        <v>53618.1</v>
      </c>
      <c r="P56" s="897">
        <f>O56/P52*100</f>
        <v>42.675978987583569</v>
      </c>
      <c r="Q56" s="990">
        <f>W28/W30*100</f>
        <v>62.475256635224127</v>
      </c>
      <c r="R56" s="987"/>
      <c r="S56" s="611" t="str">
        <f>IF(E34&lt;=25,"A",IF(AND(E34&gt;25,E32&lt;25),"B",IF(AND(E32&gt;=25,E30&lt;=30),"C","c")))</f>
        <v>C</v>
      </c>
      <c r="T56" s="610"/>
      <c r="AD56" s="2"/>
      <c r="AE56" s="2"/>
      <c r="AF56" s="2"/>
      <c r="AG56" s="2"/>
      <c r="AH56" s="2"/>
      <c r="AI56" s="2"/>
      <c r="AJ56" s="2"/>
      <c r="AK56" s="2"/>
      <c r="AL56" s="2"/>
      <c r="AM56" s="2"/>
      <c r="AN56" s="2"/>
      <c r="AO56" s="2"/>
      <c r="AP56" s="2"/>
      <c r="AQ56" s="2"/>
      <c r="AR56" s="2"/>
      <c r="AS56" s="2"/>
      <c r="AT56" s="2"/>
    </row>
    <row r="57" spans="1:46" ht="15" customHeight="1">
      <c r="A57" s="512"/>
      <c r="B57" s="1164"/>
      <c r="C57" s="1164"/>
      <c r="D57" s="1164"/>
      <c r="E57" s="1164"/>
      <c r="F57" s="1164"/>
      <c r="G57" s="1164"/>
      <c r="H57" s="1164"/>
      <c r="I57" s="1164"/>
      <c r="J57" s="1164"/>
      <c r="K57" s="1164"/>
      <c r="L57" s="511"/>
      <c r="O57" s="984">
        <f>O54+O56</f>
        <v>125640</v>
      </c>
      <c r="P57" s="985">
        <f>P54+P56</f>
        <v>100</v>
      </c>
      <c r="Q57" s="991">
        <f>Q54+Q56</f>
        <v>100</v>
      </c>
      <c r="Z57" s="4"/>
      <c r="AA57" s="4"/>
      <c r="AB57" s="4"/>
      <c r="AC57" s="4"/>
      <c r="AD57" s="5"/>
      <c r="AE57" s="6"/>
      <c r="AR57" s="6"/>
      <c r="AS57" s="6"/>
      <c r="AT57" s="6"/>
    </row>
    <row r="58" spans="1:46" ht="15" customHeight="1">
      <c r="A58" s="512"/>
      <c r="B58" s="1164"/>
      <c r="C58" s="1164"/>
      <c r="D58" s="1164"/>
      <c r="E58" s="1164"/>
      <c r="F58" s="1164"/>
      <c r="G58" s="1164"/>
      <c r="H58" s="1164"/>
      <c r="I58" s="1164"/>
      <c r="J58" s="1164"/>
      <c r="K58" s="1164"/>
      <c r="L58" s="511"/>
      <c r="Q58" s="562"/>
      <c r="R58" s="930" t="s">
        <v>90</v>
      </c>
      <c r="S58" s="931"/>
      <c r="T58" s="927">
        <f>100-F34</f>
        <v>37.52474336477588</v>
      </c>
      <c r="U58" s="910" t="s">
        <v>91</v>
      </c>
      <c r="V58" s="911"/>
      <c r="W58" s="904">
        <f>100-F29</f>
        <v>18.551985725938579</v>
      </c>
      <c r="AE58" s="6"/>
    </row>
    <row r="59" spans="1:46" ht="15" customHeight="1">
      <c r="A59" s="512"/>
      <c r="B59" s="1164"/>
      <c r="C59" s="1164"/>
      <c r="D59" s="1164"/>
      <c r="E59" s="1164"/>
      <c r="F59" s="1164"/>
      <c r="G59" s="1164"/>
      <c r="H59" s="1164"/>
      <c r="I59" s="1164"/>
      <c r="J59" s="1164"/>
      <c r="K59" s="1164"/>
      <c r="L59" s="511"/>
      <c r="Q59" s="562"/>
      <c r="R59" s="934"/>
      <c r="S59" s="935"/>
      <c r="T59" s="929"/>
      <c r="U59" s="908" t="s">
        <v>92</v>
      </c>
      <c r="V59" s="909"/>
      <c r="W59" s="904">
        <f>+F29-F34</f>
        <v>18.972757638837301</v>
      </c>
      <c r="AE59" s="6"/>
    </row>
    <row r="60" spans="1:46" ht="15" customHeight="1">
      <c r="A60" s="512"/>
      <c r="B60" s="1164"/>
      <c r="C60" s="1164"/>
      <c r="D60" s="1164"/>
      <c r="E60" s="1164"/>
      <c r="F60" s="1164"/>
      <c r="G60" s="1164"/>
      <c r="H60" s="1164"/>
      <c r="I60" s="1164"/>
      <c r="J60" s="1164"/>
      <c r="K60" s="1164"/>
      <c r="L60" s="511"/>
      <c r="Q60" s="562"/>
      <c r="R60" s="930" t="s">
        <v>93</v>
      </c>
      <c r="S60" s="931"/>
      <c r="T60" s="927">
        <f>+F34-F46</f>
        <v>45.148395896091039</v>
      </c>
      <c r="U60" s="910" t="s">
        <v>91</v>
      </c>
      <c r="V60" s="911"/>
      <c r="W60" s="904">
        <f>+F34-F36</f>
        <v>9.9021788545107654</v>
      </c>
      <c r="AE60" s="7"/>
    </row>
    <row r="61" spans="1:46" ht="15" customHeight="1">
      <c r="A61" s="512"/>
      <c r="B61" s="1164"/>
      <c r="C61" s="1164"/>
      <c r="D61" s="1164"/>
      <c r="E61" s="1164"/>
      <c r="F61" s="1164"/>
      <c r="G61" s="1164"/>
      <c r="H61" s="1164"/>
      <c r="I61" s="1164"/>
      <c r="J61" s="1164"/>
      <c r="K61" s="1164"/>
      <c r="L61" s="511"/>
      <c r="Q61" s="562"/>
      <c r="R61" s="932"/>
      <c r="S61" s="933"/>
      <c r="T61" s="928"/>
      <c r="U61" s="910" t="s">
        <v>94</v>
      </c>
      <c r="V61" s="911"/>
      <c r="W61" s="904">
        <f>+F36-F40</f>
        <v>23.06757574062167</v>
      </c>
      <c r="AE61" s="7"/>
    </row>
    <row r="62" spans="1:46">
      <c r="A62" s="512"/>
      <c r="B62" s="1164"/>
      <c r="C62" s="1164"/>
      <c r="D62" s="1164"/>
      <c r="E62" s="1164"/>
      <c r="F62" s="1164"/>
      <c r="G62" s="1164"/>
      <c r="H62" s="1164"/>
      <c r="I62" s="1164"/>
      <c r="J62" s="1164"/>
      <c r="K62" s="1164"/>
      <c r="L62" s="511"/>
      <c r="Q62" s="562"/>
      <c r="R62" s="934"/>
      <c r="S62" s="935"/>
      <c r="T62" s="929"/>
      <c r="U62" s="908" t="s">
        <v>92</v>
      </c>
      <c r="V62" s="909"/>
      <c r="W62" s="904">
        <f>+F40-F46</f>
        <v>12.178641300958603</v>
      </c>
      <c r="AE62" s="7"/>
    </row>
    <row r="63" spans="1:46">
      <c r="A63" s="512"/>
      <c r="B63" s="1164"/>
      <c r="C63" s="1164"/>
      <c r="D63" s="1164"/>
      <c r="E63" s="1164"/>
      <c r="F63" s="1164"/>
      <c r="G63" s="1164"/>
      <c r="H63" s="1164"/>
      <c r="I63" s="1164"/>
      <c r="J63" s="1164"/>
      <c r="K63" s="1164"/>
      <c r="L63" s="511"/>
      <c r="Q63" s="562"/>
      <c r="R63" s="936" t="s">
        <v>95</v>
      </c>
      <c r="S63" s="937"/>
      <c r="T63" s="904">
        <f>+F46</f>
        <v>17.326860739133082</v>
      </c>
      <c r="U63" s="905"/>
      <c r="V63" s="906"/>
      <c r="W63" s="904">
        <f>+F46</f>
        <v>17.326860739133082</v>
      </c>
      <c r="AE63" s="7"/>
    </row>
    <row r="64" spans="1:46">
      <c r="A64" s="512"/>
      <c r="B64" s="1164"/>
      <c r="C64" s="1164"/>
      <c r="D64" s="1164"/>
      <c r="E64" s="1164"/>
      <c r="F64" s="1164"/>
      <c r="G64" s="1164"/>
      <c r="H64" s="1164"/>
      <c r="I64" s="1164"/>
      <c r="J64" s="1164"/>
      <c r="K64" s="1164"/>
      <c r="L64" s="511"/>
      <c r="O64" s="562"/>
      <c r="P64" s="562"/>
      <c r="Q64" s="562"/>
      <c r="R64" s="940" t="s">
        <v>540</v>
      </c>
      <c r="S64" s="924"/>
      <c r="T64" s="904">
        <f>+E46</f>
        <v>82.673139260866918</v>
      </c>
      <c r="U64" s="921"/>
      <c r="V64" s="907"/>
      <c r="W64" s="785"/>
      <c r="AE64" s="7"/>
    </row>
    <row r="65" spans="1:54" ht="14.7" customHeight="1">
      <c r="A65" s="512"/>
      <c r="B65" s="1164"/>
      <c r="C65" s="1167"/>
      <c r="D65" s="1164"/>
      <c r="E65" s="1164"/>
      <c r="F65" s="1164"/>
      <c r="G65" s="1164"/>
      <c r="H65" s="1167"/>
      <c r="I65" s="1164"/>
      <c r="J65" s="1164"/>
      <c r="K65" s="1164"/>
      <c r="L65" s="511"/>
      <c r="AE65" s="7"/>
    </row>
    <row r="66" spans="1:54" ht="14.7" customHeight="1">
      <c r="A66" s="512"/>
      <c r="B66" s="1164"/>
      <c r="C66" s="1168"/>
      <c r="D66" s="1164"/>
      <c r="E66" s="1164"/>
      <c r="F66" s="1164"/>
      <c r="G66" s="1164"/>
      <c r="H66" s="1168"/>
      <c r="I66" s="1164"/>
      <c r="J66" s="1164"/>
      <c r="K66" s="1164"/>
      <c r="L66" s="511"/>
      <c r="AE66" s="7"/>
    </row>
    <row r="67" spans="1:54" ht="14.7" customHeight="1">
      <c r="A67" s="512"/>
      <c r="B67" s="1164"/>
      <c r="C67" s="1164"/>
      <c r="D67" s="1164"/>
      <c r="E67" s="1164"/>
      <c r="F67" s="1164"/>
      <c r="G67" s="1164"/>
      <c r="H67" s="1164"/>
      <c r="I67" s="1164"/>
      <c r="J67" s="1164"/>
      <c r="K67" s="1164"/>
      <c r="L67" s="511"/>
      <c r="O67" s="1491" t="s">
        <v>592</v>
      </c>
      <c r="P67" s="1425" t="s">
        <v>593</v>
      </c>
      <c r="Q67" s="1425" t="s">
        <v>594</v>
      </c>
      <c r="R67" s="1460" t="s">
        <v>595</v>
      </c>
      <c r="S67" s="1422" t="s">
        <v>596</v>
      </c>
      <c r="T67" s="1463" t="s">
        <v>597</v>
      </c>
      <c r="U67" s="1466"/>
      <c r="V67" s="1466"/>
      <c r="W67" s="1466"/>
      <c r="X67" s="1466"/>
      <c r="Y67" s="1466"/>
      <c r="Z67" s="1466"/>
      <c r="AA67" s="1466"/>
      <c r="AB67" s="1466"/>
      <c r="AC67" s="1466"/>
      <c r="AD67" s="1460"/>
      <c r="AE67" s="1467" t="s">
        <v>598</v>
      </c>
      <c r="AF67" s="1468"/>
      <c r="AG67" s="1468"/>
      <c r="AH67" s="1425" t="s">
        <v>599</v>
      </c>
      <c r="AI67" s="1425" t="s">
        <v>600</v>
      </c>
      <c r="AJ67" s="1422" t="s">
        <v>601</v>
      </c>
      <c r="AK67" s="1015"/>
      <c r="AL67" s="1425" t="s">
        <v>602</v>
      </c>
      <c r="AM67" s="1425"/>
      <c r="AN67" s="1422" t="s">
        <v>603</v>
      </c>
      <c r="AO67" s="1463" t="s">
        <v>604</v>
      </c>
      <c r="AP67" s="1460"/>
      <c r="AQ67" s="1463" t="s">
        <v>605</v>
      </c>
      <c r="AR67" s="1460"/>
      <c r="AS67" s="1422" t="s">
        <v>606</v>
      </c>
      <c r="AT67" s="1420" t="s">
        <v>607</v>
      </c>
      <c r="AU67" s="1422" t="s">
        <v>608</v>
      </c>
      <c r="AV67" s="1422" t="s">
        <v>609</v>
      </c>
    </row>
    <row r="68" spans="1:54" ht="14.7" customHeight="1">
      <c r="A68" s="512"/>
      <c r="B68" s="1164"/>
      <c r="C68" s="1164"/>
      <c r="D68" s="1164"/>
      <c r="E68" s="1164"/>
      <c r="F68" s="1164"/>
      <c r="G68" s="1164"/>
      <c r="H68" s="1164"/>
      <c r="I68" s="1164"/>
      <c r="J68" s="1164"/>
      <c r="K68" s="1164"/>
      <c r="L68" s="511"/>
      <c r="O68" s="1491"/>
      <c r="P68" s="1425"/>
      <c r="Q68" s="1425"/>
      <c r="R68" s="1461"/>
      <c r="S68" s="1423"/>
      <c r="T68" s="1017" t="s">
        <v>12</v>
      </c>
      <c r="U68" s="1017" t="s">
        <v>14</v>
      </c>
      <c r="V68" s="1017" t="s">
        <v>6</v>
      </c>
      <c r="W68" s="1017" t="s">
        <v>16</v>
      </c>
      <c r="X68" s="1017" t="s">
        <v>17</v>
      </c>
      <c r="Y68" s="1017" t="s">
        <v>19</v>
      </c>
      <c r="Z68" s="1017" t="s">
        <v>23</v>
      </c>
      <c r="AA68" s="1017" t="s">
        <v>69</v>
      </c>
      <c r="AB68" s="1017" t="s">
        <v>610</v>
      </c>
      <c r="AC68" s="1017" t="s">
        <v>4</v>
      </c>
      <c r="AD68" s="1017" t="s">
        <v>1</v>
      </c>
      <c r="AE68" s="1468"/>
      <c r="AF68" s="1468"/>
      <c r="AG68" s="1468"/>
      <c r="AH68" s="1426"/>
      <c r="AI68" s="1425"/>
      <c r="AJ68" s="1423"/>
      <c r="AK68" s="1016" t="s">
        <v>611</v>
      </c>
      <c r="AL68" s="1425"/>
      <c r="AM68" s="1425"/>
      <c r="AN68" s="1423"/>
      <c r="AO68" s="1464"/>
      <c r="AP68" s="1465"/>
      <c r="AQ68" s="1464"/>
      <c r="AR68" s="1465"/>
      <c r="AS68" s="1423"/>
      <c r="AT68" s="1420"/>
      <c r="AU68" s="1423"/>
      <c r="AV68" s="1423"/>
    </row>
    <row r="69" spans="1:54" ht="14.7" customHeight="1">
      <c r="A69" s="512"/>
      <c r="B69" s="1164"/>
      <c r="C69" s="1164"/>
      <c r="D69" s="1164"/>
      <c r="E69" s="1164"/>
      <c r="F69" s="1164"/>
      <c r="G69" s="1164"/>
      <c r="H69" s="1164"/>
      <c r="I69" s="1164"/>
      <c r="J69" s="1164"/>
      <c r="K69" s="1164"/>
      <c r="L69" s="511"/>
      <c r="O69" s="1492"/>
      <c r="P69" s="1428"/>
      <c r="Q69" s="1428"/>
      <c r="R69" s="1462"/>
      <c r="S69" s="1424"/>
      <c r="T69" s="1019">
        <v>152.4</v>
      </c>
      <c r="U69" s="1019">
        <v>101.6</v>
      </c>
      <c r="V69" s="1019">
        <v>76.2</v>
      </c>
      <c r="W69" s="1019">
        <v>50.8</v>
      </c>
      <c r="X69" s="1020">
        <v>38.1</v>
      </c>
      <c r="Y69" s="1020">
        <v>19.05</v>
      </c>
      <c r="Z69" s="1020">
        <v>9.5</v>
      </c>
      <c r="AA69" s="1020">
        <v>4.75</v>
      </c>
      <c r="AB69" s="1020">
        <v>2.36</v>
      </c>
      <c r="AC69" s="1020">
        <v>0.42499999999999999</v>
      </c>
      <c r="AD69" s="1020">
        <v>7.4999999999999997E-2</v>
      </c>
      <c r="AE69" s="1021" t="s">
        <v>2</v>
      </c>
      <c r="AF69" s="1021" t="s">
        <v>113</v>
      </c>
      <c r="AG69" s="1021" t="s">
        <v>3</v>
      </c>
      <c r="AH69" s="1427"/>
      <c r="AI69" s="1428"/>
      <c r="AJ69" s="1424"/>
      <c r="AK69" s="1018"/>
      <c r="AL69" s="1022" t="s">
        <v>612</v>
      </c>
      <c r="AM69" s="1023" t="s">
        <v>613</v>
      </c>
      <c r="AN69" s="1424"/>
      <c r="AO69" s="1024" t="s">
        <v>614</v>
      </c>
      <c r="AP69" s="1024" t="s">
        <v>615</v>
      </c>
      <c r="AQ69" s="1024" t="s">
        <v>614</v>
      </c>
      <c r="AR69" s="1024" t="s">
        <v>615</v>
      </c>
      <c r="AS69" s="1424"/>
      <c r="AT69" s="1421"/>
      <c r="AU69" s="1424"/>
      <c r="AV69" s="1424"/>
    </row>
    <row r="70" spans="1:54" ht="14.7" customHeight="1">
      <c r="A70" s="512"/>
      <c r="B70" s="1164"/>
      <c r="C70" s="1164"/>
      <c r="D70" s="1164"/>
      <c r="E70" s="1164"/>
      <c r="F70" s="1164"/>
      <c r="G70" s="1164"/>
      <c r="H70" s="1164"/>
      <c r="I70" s="1164"/>
      <c r="J70" s="1164"/>
      <c r="K70" s="1164"/>
      <c r="L70" s="511"/>
      <c r="O70" s="1109">
        <f>M13</f>
        <v>2</v>
      </c>
      <c r="P70" s="1025" t="str">
        <f>F13</f>
        <v>SGS-C-Z3-025</v>
      </c>
      <c r="Q70" s="1026">
        <f>K12</f>
        <v>46122</v>
      </c>
      <c r="R70" s="1027" t="str">
        <f>C12</f>
        <v>SD5- Plataforma de Acopio Zona 3 DP16 - Pila N° 25</v>
      </c>
      <c r="S70" s="1027" t="s">
        <v>616</v>
      </c>
      <c r="T70" s="1028">
        <f>F22</f>
        <v>100</v>
      </c>
      <c r="U70" s="1028">
        <f>F24</f>
        <v>100</v>
      </c>
      <c r="V70" s="1028">
        <f>F25</f>
        <v>96.337256541333346</v>
      </c>
      <c r="W70" s="1028">
        <f>F27</f>
        <v>90.279999827335359</v>
      </c>
      <c r="X70" s="1028">
        <f>F28</f>
        <v>86.400955947580215</v>
      </c>
      <c r="Y70" s="1028">
        <f>F30</f>
        <v>78.32602186811603</v>
      </c>
      <c r="Z70" s="1028">
        <f>F32</f>
        <v>70.05591045556028</v>
      </c>
      <c r="AA70" s="1028">
        <f>F34</f>
        <v>62.47525663522412</v>
      </c>
      <c r="AB70" s="1028">
        <f>F35</f>
        <v>55.490065782435494</v>
      </c>
      <c r="AC70" s="1028">
        <f>F40</f>
        <v>29.505502040091685</v>
      </c>
      <c r="AD70" s="1028">
        <f>F46</f>
        <v>17.326860739133082</v>
      </c>
      <c r="AE70" s="1028">
        <f>L34</f>
        <v>31</v>
      </c>
      <c r="AF70" s="1028">
        <f>L35</f>
        <v>19.384789509554913</v>
      </c>
      <c r="AG70" s="1028">
        <f>L36</f>
        <v>11.615210490445087</v>
      </c>
      <c r="AH70" s="1030" t="str">
        <f>AB8</f>
        <v>SC</v>
      </c>
      <c r="AI70" s="1031" t="e">
        <f>#REF!</f>
        <v>#REF!</v>
      </c>
      <c r="AJ70" s="1031" t="s">
        <v>617</v>
      </c>
      <c r="AK70" s="1031" t="str">
        <f>S56</f>
        <v>C</v>
      </c>
      <c r="AL70" s="1032" t="e">
        <f>#REF!</f>
        <v>#REF!</v>
      </c>
      <c r="AM70" s="1033" t="e">
        <f>#REF!</f>
        <v>#REF!</v>
      </c>
      <c r="AN70" s="1034" t="e">
        <f>#REF!</f>
        <v>#REF!</v>
      </c>
      <c r="AO70" s="1034" t="e">
        <f>#REF!</f>
        <v>#REF!</v>
      </c>
      <c r="AP70" s="1029" t="e">
        <f>#REF!</f>
        <v>#REF!</v>
      </c>
      <c r="AQ70" s="1032" t="e">
        <f>#REF!</f>
        <v>#REF!</v>
      </c>
      <c r="AR70" s="1029" t="e">
        <f>#REF!</f>
        <v>#REF!</v>
      </c>
      <c r="AS70" s="1032" t="s">
        <v>618</v>
      </c>
      <c r="AT70" s="1035"/>
      <c r="AU70" s="1035" t="s">
        <v>619</v>
      </c>
      <c r="AV70" s="1035" t="s">
        <v>620</v>
      </c>
    </row>
    <row r="71" spans="1:54">
      <c r="A71" s="512"/>
      <c r="B71" s="1164"/>
      <c r="C71" s="1164"/>
      <c r="D71" s="1164"/>
      <c r="E71" s="1164"/>
      <c r="F71" s="1164"/>
      <c r="G71" s="1164"/>
      <c r="H71" s="1164"/>
      <c r="I71" s="1164"/>
      <c r="J71" s="1164"/>
      <c r="K71" s="1164"/>
      <c r="L71" s="511"/>
      <c r="AE71" s="7"/>
    </row>
    <row r="72" spans="1:54">
      <c r="A72" s="512"/>
      <c r="B72" s="1164"/>
      <c r="C72" s="1164"/>
      <c r="D72" s="1164"/>
      <c r="E72" s="1164"/>
      <c r="F72" s="1164"/>
      <c r="G72" s="1164"/>
      <c r="H72" s="1164"/>
      <c r="I72" s="1164"/>
      <c r="J72" s="1164"/>
      <c r="K72" s="1164"/>
      <c r="L72" s="511"/>
      <c r="U72" s="562"/>
      <c r="AE72" s="7"/>
    </row>
    <row r="73" spans="1:54">
      <c r="A73" s="513"/>
      <c r="B73" s="1416"/>
      <c r="C73" s="1416"/>
      <c r="D73" s="1416"/>
      <c r="E73" s="1416"/>
      <c r="F73" s="1416"/>
      <c r="G73" s="1416"/>
      <c r="H73" s="1416"/>
      <c r="I73" s="1416"/>
      <c r="J73" s="1416"/>
      <c r="K73" s="1416"/>
      <c r="L73" s="1417"/>
      <c r="O73" s="1413"/>
      <c r="P73" s="1409"/>
      <c r="Q73" s="1409"/>
      <c r="R73" s="1409"/>
      <c r="S73" s="1409"/>
      <c r="T73" s="1410"/>
      <c r="U73" s="1410"/>
      <c r="V73" s="1410"/>
      <c r="W73" s="1410"/>
      <c r="X73" s="1410"/>
      <c r="Y73" s="1410"/>
      <c r="Z73" s="1410"/>
      <c r="AA73" s="1410"/>
      <c r="AB73" s="1410"/>
      <c r="AC73" s="1410"/>
      <c r="AD73" s="1410"/>
      <c r="AE73" s="1410"/>
      <c r="AF73" s="1410"/>
      <c r="AG73" s="1410"/>
      <c r="AH73" s="1410"/>
      <c r="AI73" s="1410"/>
      <c r="AJ73" s="1410"/>
      <c r="AK73" s="1410"/>
      <c r="AL73" s="1410"/>
      <c r="AM73" s="1410"/>
      <c r="AN73" s="1410"/>
      <c r="AO73" s="1410"/>
      <c r="AP73" s="1410"/>
      <c r="AQ73" s="1410"/>
      <c r="AR73" s="1411"/>
      <c r="AS73" s="1411"/>
      <c r="AT73" s="1411"/>
      <c r="AU73" s="1412"/>
      <c r="AV73" s="1408"/>
      <c r="AW73" s="1408"/>
      <c r="AX73" s="1408"/>
      <c r="AY73" s="1408"/>
      <c r="AZ73" s="1408"/>
      <c r="BA73" s="1408"/>
      <c r="BB73" s="1408"/>
    </row>
    <row r="74" spans="1:54">
      <c r="A74" s="514"/>
      <c r="B74" s="1170"/>
      <c r="C74" s="1416"/>
      <c r="D74" s="1416"/>
      <c r="E74" s="1416"/>
      <c r="F74" s="1416"/>
      <c r="G74" s="1416"/>
      <c r="H74" s="1416"/>
      <c r="I74" s="1416"/>
      <c r="J74" s="1416"/>
      <c r="K74" s="1416"/>
      <c r="L74" s="1417"/>
      <c r="O74" s="1413"/>
      <c r="P74" s="1409"/>
      <c r="Q74" s="1409"/>
      <c r="R74" s="1409"/>
      <c r="S74" s="1409"/>
      <c r="T74" s="996"/>
      <c r="U74" s="996"/>
      <c r="V74" s="996"/>
      <c r="W74" s="996"/>
      <c r="X74" s="996"/>
      <c r="Y74" s="996"/>
      <c r="Z74" s="997"/>
      <c r="AA74" s="996"/>
      <c r="AB74" s="996"/>
      <c r="AC74" s="996"/>
      <c r="AD74" s="996"/>
      <c r="AE74" s="996"/>
      <c r="AF74" s="996"/>
      <c r="AG74" s="996"/>
      <c r="AH74" s="996"/>
      <c r="AI74" s="996"/>
      <c r="AJ74" s="996"/>
      <c r="AK74" s="996"/>
      <c r="AL74" s="996"/>
      <c r="AM74" s="996"/>
      <c r="AN74" s="996"/>
      <c r="AO74" s="996"/>
      <c r="AP74" s="996"/>
      <c r="AQ74" s="998"/>
      <c r="AR74" s="999"/>
      <c r="AS74" s="999"/>
      <c r="AT74" s="999"/>
      <c r="AU74" s="1412"/>
      <c r="AV74" s="1408"/>
      <c r="AW74" s="995"/>
      <c r="AX74" s="1000"/>
      <c r="AY74" s="1001"/>
      <c r="AZ74" s="1001"/>
      <c r="BA74" s="1001"/>
      <c r="BB74" s="1001"/>
    </row>
    <row r="75" spans="1:54" ht="15" customHeight="1">
      <c r="A75" s="513"/>
      <c r="B75" s="1416"/>
      <c r="C75" s="1416"/>
      <c r="D75" s="1416"/>
      <c r="E75" s="1416"/>
      <c r="F75" s="1416"/>
      <c r="G75" s="1416"/>
      <c r="H75" s="1416"/>
      <c r="I75" s="1416"/>
      <c r="J75" s="1416"/>
      <c r="K75" s="1416"/>
      <c r="L75" s="1417"/>
      <c r="O75" s="1003"/>
      <c r="P75" s="1004"/>
      <c r="Q75" s="1007"/>
      <c r="R75" s="1006"/>
      <c r="S75" s="1007"/>
      <c r="T75" s="1008"/>
      <c r="U75" s="1008"/>
      <c r="V75" s="1008"/>
      <c r="W75" s="1008"/>
      <c r="X75" s="1008"/>
      <c r="Y75" s="1008"/>
      <c r="Z75" s="1008"/>
      <c r="AA75" s="1008"/>
      <c r="AB75" s="1008"/>
      <c r="AC75" s="1008"/>
      <c r="AD75" s="1008"/>
      <c r="AE75" s="1008"/>
      <c r="AF75" s="1008"/>
      <c r="AG75" s="1008"/>
      <c r="AH75" s="1008"/>
      <c r="AI75" s="1008"/>
      <c r="AJ75" s="1008"/>
      <c r="AK75" s="1008"/>
      <c r="AL75" s="1008"/>
      <c r="AM75" s="1008"/>
      <c r="AN75" s="1008"/>
      <c r="AO75" s="1008"/>
      <c r="AP75" s="1008"/>
      <c r="AQ75" s="1104"/>
      <c r="AR75" s="1009"/>
      <c r="AS75" s="1009"/>
      <c r="AT75" s="1009"/>
      <c r="AU75" s="1010"/>
      <c r="AV75" s="1011"/>
      <c r="AW75" s="1105"/>
      <c r="AX75" s="1106"/>
      <c r="AY75" s="1107"/>
      <c r="AZ75" s="1108"/>
      <c r="BA75" s="1107"/>
      <c r="BB75" s="1106"/>
    </row>
    <row r="76" spans="1:54">
      <c r="A76" s="513"/>
      <c r="B76" s="1169"/>
      <c r="C76" s="1169"/>
      <c r="D76" s="1169"/>
      <c r="E76" s="1169"/>
      <c r="F76" s="1169"/>
      <c r="G76" s="1169"/>
      <c r="H76" s="1169"/>
      <c r="I76" s="1169"/>
      <c r="J76" s="1169"/>
      <c r="K76" s="1169"/>
      <c r="L76" s="898"/>
      <c r="O76" s="562"/>
      <c r="P76" s="562"/>
      <c r="Q76" s="562"/>
      <c r="R76" s="562"/>
      <c r="V76" s="562"/>
      <c r="W76" s="562"/>
      <c r="Z76" s="8"/>
      <c r="AA76" s="8"/>
      <c r="AB76" s="8"/>
      <c r="AC76" s="8"/>
      <c r="AD76" s="9"/>
      <c r="AE76" s="7"/>
      <c r="AF76" s="7"/>
      <c r="AG76" s="7"/>
      <c r="AH76" s="7"/>
      <c r="AI76" s="7"/>
      <c r="AJ76" s="7"/>
      <c r="AK76" s="7"/>
      <c r="AL76" s="7"/>
      <c r="AM76" s="7"/>
      <c r="AN76" s="7"/>
      <c r="AO76" s="7"/>
      <c r="AP76" s="7"/>
      <c r="AQ76" s="7"/>
      <c r="AR76" s="7"/>
      <c r="AS76" s="7"/>
      <c r="AT76" s="7"/>
    </row>
    <row r="77" spans="1:54">
      <c r="A77" s="513"/>
      <c r="B77" s="1169"/>
      <c r="C77" s="1169"/>
      <c r="D77" s="1169"/>
      <c r="E77" s="1169"/>
      <c r="F77" s="1169"/>
      <c r="G77" s="1169"/>
      <c r="H77" s="1169"/>
      <c r="I77" s="1169"/>
      <c r="J77" s="1169"/>
      <c r="K77" s="1169"/>
      <c r="L77" s="898"/>
      <c r="Q77" s="562"/>
      <c r="R77" s="562"/>
      <c r="T77" s="424"/>
      <c r="AG77" s="8"/>
      <c r="AH77" s="8"/>
      <c r="AI77" s="8"/>
      <c r="AJ77" s="8"/>
      <c r="AK77" s="8"/>
      <c r="AL77" s="8"/>
      <c r="AM77" s="8"/>
      <c r="AN77" s="8"/>
      <c r="AO77" s="8"/>
      <c r="AP77" s="8"/>
      <c r="AQ77" s="8"/>
      <c r="AR77" s="8"/>
      <c r="AS77" s="8"/>
      <c r="AT77" s="8"/>
    </row>
    <row r="78" spans="1:54">
      <c r="A78" s="964" t="s">
        <v>565</v>
      </c>
      <c r="B78" s="965"/>
      <c r="C78" s="965"/>
      <c r="D78" s="965"/>
      <c r="E78" s="965"/>
      <c r="F78" s="965"/>
      <c r="G78" s="965"/>
      <c r="H78" s="965"/>
      <c r="I78" s="965"/>
      <c r="J78" s="965"/>
      <c r="K78" s="965"/>
      <c r="L78" s="966"/>
      <c r="N78" s="1449"/>
      <c r="O78" s="1450"/>
      <c r="P78" s="1450"/>
      <c r="Q78" s="1450"/>
      <c r="R78" s="1450"/>
      <c r="S78" s="1450"/>
      <c r="T78" s="1450"/>
      <c r="U78" s="1450"/>
      <c r="V78" s="1450"/>
      <c r="W78" s="1450"/>
      <c r="X78" s="1450"/>
      <c r="Y78" s="1451"/>
      <c r="AG78" s="2"/>
      <c r="AH78" s="2"/>
      <c r="AI78" s="2"/>
      <c r="AJ78" s="2"/>
      <c r="AK78" s="2"/>
      <c r="AL78" s="2"/>
      <c r="AM78" s="2"/>
      <c r="AN78" s="2"/>
      <c r="AO78" s="2"/>
      <c r="AP78" s="2"/>
      <c r="AQ78" s="2"/>
      <c r="AR78" s="2"/>
      <c r="AS78" s="2"/>
      <c r="AT78" s="2"/>
    </row>
    <row r="79" spans="1:54">
      <c r="A79" s="1449" t="s">
        <v>591</v>
      </c>
      <c r="B79" s="1450"/>
      <c r="C79" s="1450"/>
      <c r="D79" s="1450"/>
      <c r="E79" s="1450"/>
      <c r="F79" s="1450"/>
      <c r="G79" s="1450"/>
      <c r="H79" s="1450"/>
      <c r="I79" s="1450"/>
      <c r="J79" s="1450"/>
      <c r="K79" s="1450"/>
      <c r="L79" s="1451"/>
      <c r="AG79" s="2"/>
      <c r="AH79" s="2"/>
      <c r="AI79" s="2"/>
      <c r="AJ79" s="8"/>
      <c r="AK79" s="8"/>
      <c r="AL79" s="8"/>
      <c r="AM79" s="8"/>
      <c r="AN79" s="8"/>
      <c r="AO79" s="8"/>
      <c r="AP79" s="8"/>
      <c r="AQ79" s="8"/>
      <c r="AR79" s="8"/>
      <c r="AS79" s="8"/>
      <c r="AT79" s="8"/>
    </row>
    <row r="80" spans="1:54">
      <c r="A80" s="967"/>
      <c r="B80" s="899"/>
      <c r="C80" s="899"/>
      <c r="D80" s="899"/>
      <c r="E80" s="899"/>
      <c r="F80" s="899"/>
      <c r="G80" s="899"/>
      <c r="H80" s="899"/>
      <c r="I80" s="899"/>
      <c r="J80" s="899"/>
      <c r="K80" s="899"/>
      <c r="L80" s="968"/>
      <c r="AG80" s="2"/>
      <c r="AH80" s="2"/>
      <c r="AI80" s="2"/>
      <c r="AJ80" s="8"/>
      <c r="AK80" s="8"/>
      <c r="AL80" s="8"/>
      <c r="AM80" s="8"/>
      <c r="AN80" s="8"/>
      <c r="AO80" s="8"/>
      <c r="AP80" s="8"/>
      <c r="AQ80" s="8"/>
      <c r="AR80" s="8"/>
      <c r="AS80" s="8"/>
      <c r="AT80" s="8"/>
    </row>
    <row r="81" spans="1:63">
      <c r="A81" s="1449"/>
      <c r="B81" s="1450"/>
      <c r="C81" s="1450"/>
      <c r="D81" s="1450"/>
      <c r="E81" s="1450"/>
      <c r="F81" s="1450"/>
      <c r="G81" s="1450"/>
      <c r="H81" s="1450"/>
      <c r="I81" s="1450"/>
      <c r="J81" s="1450"/>
      <c r="K81" s="1450"/>
      <c r="L81" s="1451"/>
      <c r="AG81" s="2"/>
      <c r="AH81" s="2"/>
      <c r="AI81" s="2"/>
      <c r="AJ81" s="8"/>
      <c r="AK81" s="8"/>
      <c r="AL81" s="8"/>
      <c r="AM81" s="8"/>
      <c r="AN81" s="8"/>
      <c r="AO81" s="8"/>
      <c r="AP81" s="8"/>
      <c r="AQ81" s="8"/>
      <c r="AR81" s="8"/>
      <c r="AS81" s="8"/>
      <c r="AT81" s="8"/>
    </row>
    <row r="82" spans="1:63" ht="7.5" customHeight="1">
      <c r="A82" s="1435"/>
      <c r="B82" s="1436"/>
      <c r="C82" s="1436"/>
      <c r="D82" s="1436"/>
      <c r="E82" s="1436"/>
      <c r="F82" s="1436"/>
      <c r="G82" s="1436"/>
      <c r="H82" s="1436"/>
      <c r="I82" s="1436"/>
      <c r="J82" s="1436"/>
      <c r="K82" s="1436"/>
      <c r="L82" s="1437"/>
      <c r="N82" s="1449"/>
      <c r="O82" s="1450"/>
      <c r="P82" s="1450"/>
      <c r="Q82" s="1450"/>
      <c r="R82" s="1450"/>
      <c r="S82" s="1450"/>
      <c r="T82" s="1450"/>
      <c r="U82" s="1450"/>
      <c r="V82" s="1450"/>
      <c r="W82" s="1450"/>
      <c r="X82" s="1450"/>
      <c r="Y82" s="1451"/>
      <c r="AG82" s="2"/>
      <c r="AH82" s="2"/>
      <c r="AI82" s="2"/>
      <c r="AJ82" s="8"/>
      <c r="AK82" s="8"/>
      <c r="AL82" s="8"/>
      <c r="AM82" s="8"/>
      <c r="AN82" s="8"/>
      <c r="AO82" s="8"/>
      <c r="AP82" s="8"/>
      <c r="AQ82" s="8"/>
      <c r="AR82" s="8"/>
      <c r="AS82" s="8"/>
      <c r="AT82" s="8"/>
    </row>
    <row r="83" spans="1:63" ht="15" customHeight="1">
      <c r="A83" s="427"/>
      <c r="B83" s="428"/>
      <c r="C83" s="428"/>
      <c r="D83" s="428"/>
      <c r="E83" s="428"/>
      <c r="F83" s="428"/>
      <c r="G83" s="428"/>
      <c r="H83" s="428"/>
      <c r="I83" s="428"/>
      <c r="J83" s="428"/>
      <c r="K83" s="428"/>
      <c r="L83" s="429"/>
      <c r="AG83" s="2"/>
      <c r="AH83" s="2"/>
      <c r="AI83" s="2"/>
      <c r="AJ83" s="8"/>
      <c r="AK83" s="8"/>
      <c r="AL83" s="8"/>
      <c r="AM83" s="8"/>
      <c r="AN83" s="8"/>
      <c r="AO83" s="8"/>
      <c r="AP83" s="8"/>
      <c r="AQ83" s="8"/>
      <c r="AR83" s="8"/>
      <c r="AS83" s="8"/>
      <c r="AT83" s="8"/>
    </row>
    <row r="84" spans="1:63" ht="24.75" customHeight="1">
      <c r="A84" s="430"/>
      <c r="B84" s="1171"/>
      <c r="C84" s="1171"/>
      <c r="D84" s="1171"/>
      <c r="E84" s="1171"/>
      <c r="F84" s="1171"/>
      <c r="G84" s="1171"/>
      <c r="H84" s="1171"/>
      <c r="I84" s="1171"/>
      <c r="J84" s="1171"/>
      <c r="K84" s="1171"/>
      <c r="L84" s="431"/>
    </row>
    <row r="85" spans="1:63" ht="20.25" customHeight="1">
      <c r="A85" s="430"/>
      <c r="B85" s="1171"/>
      <c r="C85" s="1171"/>
      <c r="D85" s="1171"/>
      <c r="E85" s="1171"/>
      <c r="F85" s="1171"/>
      <c r="G85" s="1171"/>
      <c r="H85" s="1171"/>
      <c r="I85" s="1171"/>
      <c r="J85" s="1171"/>
      <c r="K85" s="1171"/>
      <c r="L85" s="431"/>
      <c r="P85" s="1409"/>
      <c r="Q85" s="1413"/>
      <c r="R85" s="1409"/>
      <c r="S85" s="1409"/>
      <c r="T85" s="1409"/>
      <c r="U85" s="1409"/>
      <c r="V85" s="1410"/>
      <c r="W85" s="1410"/>
      <c r="X85" s="1410"/>
      <c r="Y85" s="1410"/>
      <c r="Z85" s="1410"/>
      <c r="AA85" s="1410"/>
      <c r="AB85" s="1410"/>
      <c r="AC85" s="1410"/>
      <c r="AD85" s="1410"/>
      <c r="AE85" s="1410"/>
      <c r="AF85" s="1410"/>
      <c r="AG85" s="1410"/>
      <c r="AH85" s="1410"/>
      <c r="AI85" s="1410"/>
      <c r="AJ85" s="1410"/>
      <c r="AK85" s="1410"/>
      <c r="AL85" s="1410"/>
      <c r="AM85" s="1410"/>
      <c r="AN85" s="1410"/>
      <c r="AO85" s="1410"/>
      <c r="AP85" s="1410"/>
      <c r="AQ85" s="1410"/>
      <c r="AR85" s="1410"/>
      <c r="AS85" s="1410"/>
      <c r="AT85" s="1411"/>
      <c r="AU85" s="1411"/>
      <c r="AV85" s="1411"/>
      <c r="AW85" s="1412"/>
      <c r="AX85" s="1408"/>
      <c r="AY85" s="1408"/>
      <c r="AZ85" s="1408"/>
      <c r="BA85" s="1408"/>
      <c r="BB85" s="1408"/>
      <c r="BC85" s="1408"/>
      <c r="BD85" s="1408"/>
    </row>
    <row r="86" spans="1:63" ht="18" customHeight="1">
      <c r="A86" s="430"/>
      <c r="B86" s="1171"/>
      <c r="C86" s="1171"/>
      <c r="D86" s="1171"/>
      <c r="E86" s="1171"/>
      <c r="F86" s="1171"/>
      <c r="G86" s="1171"/>
      <c r="H86" s="1171"/>
      <c r="I86" s="1171"/>
      <c r="J86" s="1171"/>
      <c r="K86" s="1171"/>
      <c r="L86" s="431"/>
      <c r="P86" s="1409"/>
      <c r="Q86" s="1413"/>
      <c r="R86" s="1409"/>
      <c r="S86" s="1409"/>
      <c r="T86" s="1409"/>
      <c r="U86" s="1409"/>
      <c r="V86" s="996"/>
      <c r="W86" s="996"/>
      <c r="X86" s="996"/>
      <c r="Y86" s="996"/>
      <c r="Z86" s="996"/>
      <c r="AA86" s="996"/>
      <c r="AB86" s="997"/>
      <c r="AC86" s="996"/>
      <c r="AD86" s="996"/>
      <c r="AE86" s="996"/>
      <c r="AF86" s="996"/>
      <c r="AG86" s="996"/>
      <c r="AH86" s="996"/>
      <c r="AI86" s="996"/>
      <c r="AJ86" s="996"/>
      <c r="AK86" s="996"/>
      <c r="AL86" s="996"/>
      <c r="AM86" s="996"/>
      <c r="AN86" s="996"/>
      <c r="AO86" s="996"/>
      <c r="AP86" s="996"/>
      <c r="AQ86" s="996"/>
      <c r="AR86" s="996"/>
      <c r="AS86" s="998"/>
      <c r="AT86" s="999"/>
      <c r="AU86" s="999"/>
      <c r="AV86" s="999"/>
      <c r="AW86" s="1412"/>
      <c r="AX86" s="1408"/>
      <c r="AY86" s="995"/>
      <c r="AZ86" s="1000"/>
      <c r="BA86" s="1001"/>
      <c r="BB86" s="1001"/>
      <c r="BC86" s="1001"/>
      <c r="BD86" s="1001"/>
    </row>
    <row r="87" spans="1:63" ht="18" customHeight="1">
      <c r="A87" s="430"/>
      <c r="B87" s="1171"/>
      <c r="C87" s="1171"/>
      <c r="D87" s="1171"/>
      <c r="E87" s="1171"/>
      <c r="F87" s="1171"/>
      <c r="G87" s="1171"/>
      <c r="H87" s="1171"/>
      <c r="I87" s="1171"/>
      <c r="J87" s="1171"/>
      <c r="K87" s="1171"/>
      <c r="L87" s="431"/>
      <c r="P87" s="1002"/>
      <c r="Q87" s="1003"/>
      <c r="R87" s="1004"/>
      <c r="S87" s="1005"/>
      <c r="T87" s="1006"/>
      <c r="U87" s="1007"/>
      <c r="V87" s="1008"/>
      <c r="W87" s="1008"/>
      <c r="X87" s="1008"/>
      <c r="Y87" s="1008"/>
      <c r="Z87" s="1008"/>
      <c r="AA87" s="1008"/>
      <c r="AB87" s="1008"/>
      <c r="AC87" s="1008"/>
      <c r="AD87" s="1008"/>
      <c r="AE87" s="1008"/>
      <c r="AF87" s="1008"/>
      <c r="AG87" s="1008"/>
      <c r="AH87" s="1008"/>
      <c r="AI87" s="1008"/>
      <c r="AJ87" s="1008"/>
      <c r="AK87" s="1008"/>
      <c r="AL87" s="1008"/>
      <c r="AM87" s="1008"/>
      <c r="AN87" s="1008"/>
      <c r="AO87" s="1008"/>
      <c r="AP87" s="1008"/>
      <c r="AQ87" s="1008"/>
      <c r="AR87" s="1008"/>
      <c r="AS87" s="1008"/>
      <c r="AT87" s="1009"/>
      <c r="AU87" s="1009"/>
      <c r="AV87" s="1009"/>
      <c r="AW87" s="1010"/>
      <c r="AX87" s="1011"/>
      <c r="AY87" s="1012"/>
      <c r="AZ87" s="1011"/>
      <c r="BA87" s="1013"/>
      <c r="BB87" s="1008"/>
      <c r="BC87" s="1013"/>
      <c r="BD87" s="1008"/>
    </row>
    <row r="88" spans="1:63" ht="18" customHeight="1">
      <c r="A88" s="432"/>
      <c r="B88" s="433"/>
      <c r="C88" s="433"/>
      <c r="D88" s="433"/>
      <c r="E88" s="433"/>
      <c r="F88" s="433"/>
      <c r="G88" s="433"/>
      <c r="H88" s="433"/>
      <c r="I88" s="433"/>
      <c r="J88" s="433"/>
      <c r="K88" s="433"/>
      <c r="L88" s="434"/>
    </row>
    <row r="89" spans="1:63" ht="15" thickBot="1"/>
    <row r="90" spans="1:63" ht="15" customHeight="1">
      <c r="A90" s="1454" t="s">
        <v>636</v>
      </c>
      <c r="B90" s="1418" t="s">
        <v>593</v>
      </c>
      <c r="C90" s="1418" t="s">
        <v>594</v>
      </c>
      <c r="D90" s="1418" t="s">
        <v>595</v>
      </c>
      <c r="E90" s="1418" t="s">
        <v>596</v>
      </c>
      <c r="L90" s="1148" t="s">
        <v>637</v>
      </c>
      <c r="M90" s="1148"/>
      <c r="N90" s="1148"/>
      <c r="O90" s="1148"/>
      <c r="P90" s="1148"/>
      <c r="Q90" s="1148"/>
      <c r="R90" s="1148"/>
      <c r="S90" s="1148"/>
      <c r="T90" s="1148"/>
      <c r="U90" s="1148"/>
      <c r="V90" s="1148"/>
      <c r="W90" s="1148"/>
      <c r="X90" s="1148"/>
      <c r="Y90" s="1148"/>
      <c r="Z90" s="1148"/>
      <c r="AA90" s="1148"/>
      <c r="AB90" s="1148"/>
      <c r="AC90" s="1139" t="s">
        <v>598</v>
      </c>
      <c r="AD90" s="1139"/>
      <c r="AE90" s="1139"/>
      <c r="AF90" s="1139" t="s">
        <v>599</v>
      </c>
      <c r="AG90" s="1139" t="s">
        <v>600</v>
      </c>
      <c r="AH90" s="1139" t="s">
        <v>601</v>
      </c>
      <c r="AI90" s="1139" t="s">
        <v>611</v>
      </c>
      <c r="AJ90" s="1144" t="s">
        <v>602</v>
      </c>
      <c r="AK90" s="1145"/>
      <c r="AL90" s="1139" t="s">
        <v>603</v>
      </c>
      <c r="AM90" s="1139" t="s">
        <v>638</v>
      </c>
      <c r="AN90" s="1140"/>
      <c r="AO90" s="1140"/>
      <c r="AP90" s="1140"/>
      <c r="AQ90" s="1140"/>
      <c r="AR90" s="1140"/>
      <c r="AS90" s="1140"/>
      <c r="AT90" s="1140"/>
      <c r="AU90" s="1140"/>
      <c r="AV90" s="1140"/>
      <c r="AW90" s="1140"/>
      <c r="AX90" s="1140"/>
      <c r="AY90" s="1139" t="s">
        <v>639</v>
      </c>
      <c r="AZ90" s="1140"/>
      <c r="BA90" s="1140"/>
      <c r="BB90" s="1140"/>
      <c r="BC90" s="1140"/>
      <c r="BD90" s="1140"/>
      <c r="BE90" s="1140"/>
      <c r="BF90" s="1140"/>
      <c r="BG90" s="1140"/>
      <c r="BH90" s="1140"/>
      <c r="BI90" s="1139" t="s">
        <v>640</v>
      </c>
      <c r="BJ90" s="1139"/>
      <c r="BK90" s="1141" t="s">
        <v>606</v>
      </c>
    </row>
    <row r="91" spans="1:63" ht="15" customHeight="1">
      <c r="A91" s="1455"/>
      <c r="B91" s="1419"/>
      <c r="C91" s="1419"/>
      <c r="D91" s="1419"/>
      <c r="E91" s="1419"/>
      <c r="F91" s="1111" t="s">
        <v>726</v>
      </c>
      <c r="G91" s="1111" t="s">
        <v>727</v>
      </c>
      <c r="H91" s="1111" t="s">
        <v>728</v>
      </c>
      <c r="I91" s="1111" t="s">
        <v>729</v>
      </c>
      <c r="J91" s="1111" t="s">
        <v>665</v>
      </c>
      <c r="K91" s="1111" t="s">
        <v>730</v>
      </c>
      <c r="L91" s="1111" t="s">
        <v>641</v>
      </c>
      <c r="M91" s="1111" t="s">
        <v>18</v>
      </c>
      <c r="N91" s="1111" t="s">
        <v>642</v>
      </c>
      <c r="O91" s="1111" t="s">
        <v>21</v>
      </c>
      <c r="P91" s="1111" t="s">
        <v>23</v>
      </c>
      <c r="Q91" s="1111" t="s">
        <v>69</v>
      </c>
      <c r="R91" s="1111" t="s">
        <v>96</v>
      </c>
      <c r="S91" s="1111" t="s">
        <v>0</v>
      </c>
      <c r="T91" s="1111" t="s">
        <v>97</v>
      </c>
      <c r="U91" s="1111" t="s">
        <v>70</v>
      </c>
      <c r="V91" s="1111" t="s">
        <v>643</v>
      </c>
      <c r="W91" s="1111" t="s">
        <v>4</v>
      </c>
      <c r="X91" s="1111" t="s">
        <v>72</v>
      </c>
      <c r="Y91" s="1111" t="s">
        <v>354</v>
      </c>
      <c r="Z91" s="1111" t="s">
        <v>644</v>
      </c>
      <c r="AA91" s="1111" t="s">
        <v>73</v>
      </c>
      <c r="AB91" s="1111" t="s">
        <v>1</v>
      </c>
      <c r="AC91" s="1111"/>
      <c r="AD91" s="1111"/>
      <c r="AE91" s="1111"/>
      <c r="AF91" s="1111"/>
      <c r="AG91" s="1111"/>
      <c r="AH91" s="1111"/>
      <c r="AI91" s="1111"/>
      <c r="AJ91" s="1146"/>
      <c r="AK91" s="1147"/>
      <c r="AL91" s="1111"/>
      <c r="AM91" s="1111" t="s">
        <v>645</v>
      </c>
      <c r="AN91" s="1111" t="s">
        <v>646</v>
      </c>
      <c r="AO91" s="1143" t="s">
        <v>647</v>
      </c>
      <c r="AP91" s="1143"/>
      <c r="AQ91" s="1143"/>
      <c r="AR91" s="1143"/>
      <c r="AS91" s="1143"/>
      <c r="AT91" s="1143" t="s">
        <v>648</v>
      </c>
      <c r="AU91" s="1143"/>
      <c r="AV91" s="1143"/>
      <c r="AW91" s="1143"/>
      <c r="AX91" s="1143"/>
      <c r="AY91" s="1143" t="s">
        <v>647</v>
      </c>
      <c r="AZ91" s="1143"/>
      <c r="BA91" s="1143"/>
      <c r="BB91" s="1143"/>
      <c r="BC91" s="1143"/>
      <c r="BD91" s="1143" t="s">
        <v>648</v>
      </c>
      <c r="BE91" s="1143"/>
      <c r="BF91" s="1143"/>
      <c r="BG91" s="1143"/>
      <c r="BH91" s="1143"/>
      <c r="BI91" s="1111" t="s">
        <v>649</v>
      </c>
      <c r="BJ91" s="1111" t="s">
        <v>650</v>
      </c>
      <c r="BK91" s="1142"/>
    </row>
    <row r="92" spans="1:63" ht="15" thickBot="1">
      <c r="A92" s="1455"/>
      <c r="B92" s="1419"/>
      <c r="C92" s="1419"/>
      <c r="D92" s="1419"/>
      <c r="E92" s="1419"/>
      <c r="F92" s="1112">
        <v>152.4</v>
      </c>
      <c r="G92" s="1112">
        <v>127</v>
      </c>
      <c r="H92" s="1112">
        <v>101.6</v>
      </c>
      <c r="I92" s="1112">
        <v>76.2</v>
      </c>
      <c r="J92" s="1112">
        <v>63.5</v>
      </c>
      <c r="K92" s="1112">
        <v>50.8</v>
      </c>
      <c r="L92" s="1112">
        <v>37.5</v>
      </c>
      <c r="M92" s="1112">
        <v>25</v>
      </c>
      <c r="N92" s="1112">
        <v>19.100000000000001</v>
      </c>
      <c r="O92" s="1112">
        <v>12.5</v>
      </c>
      <c r="P92" s="1112">
        <v>9.5</v>
      </c>
      <c r="Q92" s="1112">
        <v>4.75</v>
      </c>
      <c r="R92" s="1112">
        <v>2.36</v>
      </c>
      <c r="S92" s="1112">
        <v>2</v>
      </c>
      <c r="T92" s="1112">
        <v>1.18</v>
      </c>
      <c r="U92" s="1112">
        <v>0.85</v>
      </c>
      <c r="V92" s="1112">
        <v>0.6</v>
      </c>
      <c r="W92" s="1112">
        <v>0.42499999999999999</v>
      </c>
      <c r="X92" s="1112">
        <v>0.3</v>
      </c>
      <c r="Y92" s="1112">
        <v>0.25</v>
      </c>
      <c r="Z92" s="1112">
        <v>0.18</v>
      </c>
      <c r="AA92" s="1112">
        <v>0.15</v>
      </c>
      <c r="AB92" s="1112">
        <v>7.4999999999999997E-2</v>
      </c>
      <c r="AC92" s="1111" t="s">
        <v>2</v>
      </c>
      <c r="AD92" s="1111" t="s">
        <v>113</v>
      </c>
      <c r="AE92" s="1111" t="s">
        <v>3</v>
      </c>
      <c r="AF92" s="1111"/>
      <c r="AG92" s="1111"/>
      <c r="AH92" s="1111"/>
      <c r="AI92" s="1111"/>
      <c r="AJ92" s="1111" t="s">
        <v>612</v>
      </c>
      <c r="AK92" s="1111" t="s">
        <v>613</v>
      </c>
      <c r="AL92" s="1111"/>
      <c r="AM92" s="1111"/>
      <c r="AN92" s="1111"/>
      <c r="AO92" s="1111" t="s">
        <v>651</v>
      </c>
      <c r="AP92" s="1111" t="s">
        <v>652</v>
      </c>
      <c r="AQ92" s="1111" t="s">
        <v>653</v>
      </c>
      <c r="AR92" s="1111" t="s">
        <v>654</v>
      </c>
      <c r="AS92" s="1111" t="s">
        <v>655</v>
      </c>
      <c r="AT92" s="1111" t="s">
        <v>656</v>
      </c>
      <c r="AU92" s="1111" t="s">
        <v>657</v>
      </c>
      <c r="AV92" s="1111" t="s">
        <v>658</v>
      </c>
      <c r="AW92" s="1111" t="s">
        <v>659</v>
      </c>
      <c r="AX92" s="1111" t="s">
        <v>660</v>
      </c>
      <c r="AY92" s="1111" t="s">
        <v>651</v>
      </c>
      <c r="AZ92" s="1111" t="s">
        <v>652</v>
      </c>
      <c r="BA92" s="1111" t="s">
        <v>653</v>
      </c>
      <c r="BB92" s="1111" t="s">
        <v>654</v>
      </c>
      <c r="BC92" s="1111" t="s">
        <v>655</v>
      </c>
      <c r="BD92" s="1111" t="s">
        <v>656</v>
      </c>
      <c r="BE92" s="1111" t="s">
        <v>657</v>
      </c>
      <c r="BF92" s="1111" t="s">
        <v>658</v>
      </c>
      <c r="BG92" s="1111" t="s">
        <v>659</v>
      </c>
      <c r="BH92" s="1111" t="s">
        <v>660</v>
      </c>
      <c r="BI92" s="1111"/>
      <c r="BJ92" s="1111"/>
      <c r="BK92" s="1142"/>
    </row>
    <row r="93" spans="1:63" ht="60.6" hidden="1" thickBot="1">
      <c r="A93" s="1113" t="s">
        <v>636</v>
      </c>
      <c r="B93" s="1114" t="s">
        <v>661</v>
      </c>
      <c r="C93" s="1114" t="s">
        <v>662</v>
      </c>
      <c r="D93" s="1114" t="s">
        <v>663</v>
      </c>
      <c r="E93" s="1114" t="s">
        <v>664</v>
      </c>
      <c r="F93" s="1115" t="s">
        <v>731</v>
      </c>
      <c r="G93" s="1115" t="s">
        <v>732</v>
      </c>
      <c r="H93" s="1115" t="s">
        <v>733</v>
      </c>
      <c r="I93" s="1115" t="s">
        <v>665</v>
      </c>
      <c r="J93" s="1115" t="s">
        <v>641</v>
      </c>
      <c r="K93" s="1115" t="s">
        <v>734</v>
      </c>
      <c r="L93" s="1115" t="s">
        <v>641</v>
      </c>
      <c r="M93" s="1115" t="s">
        <v>665</v>
      </c>
      <c r="N93" s="1115" t="s">
        <v>642</v>
      </c>
      <c r="O93" s="1115" t="s">
        <v>666</v>
      </c>
      <c r="P93" s="1115" t="s">
        <v>23</v>
      </c>
      <c r="Q93" s="1115" t="s">
        <v>667</v>
      </c>
      <c r="R93" s="1115" t="s">
        <v>668</v>
      </c>
      <c r="S93" s="1115" t="s">
        <v>669</v>
      </c>
      <c r="T93" s="1115" t="s">
        <v>670</v>
      </c>
      <c r="U93" s="1115" t="s">
        <v>671</v>
      </c>
      <c r="V93" s="1115" t="s">
        <v>672</v>
      </c>
      <c r="W93" s="1115" t="s">
        <v>673</v>
      </c>
      <c r="X93" s="1115" t="s">
        <v>674</v>
      </c>
      <c r="Y93" s="1115" t="s">
        <v>675</v>
      </c>
      <c r="Z93" s="1115" t="s">
        <v>676</v>
      </c>
      <c r="AA93" s="1115" t="s">
        <v>677</v>
      </c>
      <c r="AB93" s="1115" t="s">
        <v>678</v>
      </c>
      <c r="AC93" s="1114" t="s">
        <v>679</v>
      </c>
      <c r="AD93" s="1114" t="s">
        <v>680</v>
      </c>
      <c r="AE93" s="1114" t="s">
        <v>681</v>
      </c>
      <c r="AF93" s="1114" t="s">
        <v>682</v>
      </c>
      <c r="AG93" s="1114" t="s">
        <v>683</v>
      </c>
      <c r="AH93" s="1114" t="s">
        <v>684</v>
      </c>
      <c r="AI93" s="1114" t="s">
        <v>685</v>
      </c>
      <c r="AJ93" s="1114" t="s">
        <v>686</v>
      </c>
      <c r="AK93" s="1114" t="s">
        <v>687</v>
      </c>
      <c r="AL93" s="1114" t="s">
        <v>688</v>
      </c>
      <c r="AM93" s="1114" t="s">
        <v>689</v>
      </c>
      <c r="AN93" s="1114" t="s">
        <v>690</v>
      </c>
      <c r="AO93" s="1114" t="s">
        <v>691</v>
      </c>
      <c r="AP93" s="1114" t="s">
        <v>692</v>
      </c>
      <c r="AQ93" s="1114" t="s">
        <v>693</v>
      </c>
      <c r="AR93" s="1114" t="s">
        <v>694</v>
      </c>
      <c r="AS93" s="1114" t="s">
        <v>695</v>
      </c>
      <c r="AT93" s="1114" t="s">
        <v>696</v>
      </c>
      <c r="AU93" s="1114" t="s">
        <v>697</v>
      </c>
      <c r="AV93" s="1114" t="s">
        <v>698</v>
      </c>
      <c r="AW93" s="1114" t="s">
        <v>699</v>
      </c>
      <c r="AX93" s="1114" t="s">
        <v>700</v>
      </c>
      <c r="AY93" s="1114" t="s">
        <v>701</v>
      </c>
      <c r="AZ93" s="1114" t="s">
        <v>702</v>
      </c>
      <c r="BA93" s="1114" t="s">
        <v>703</v>
      </c>
      <c r="BB93" s="1114" t="s">
        <v>704</v>
      </c>
      <c r="BC93" s="1114" t="s">
        <v>705</v>
      </c>
      <c r="BD93" s="1114" t="s">
        <v>706</v>
      </c>
      <c r="BE93" s="1114" t="s">
        <v>707</v>
      </c>
      <c r="BF93" s="1114" t="s">
        <v>708</v>
      </c>
      <c r="BG93" s="1114" t="s">
        <v>709</v>
      </c>
      <c r="BH93" s="1114" t="s">
        <v>710</v>
      </c>
      <c r="BI93" s="1114" t="s">
        <v>711</v>
      </c>
      <c r="BJ93" s="1114" t="s">
        <v>712</v>
      </c>
      <c r="BK93" s="1116" t="s">
        <v>713</v>
      </c>
    </row>
    <row r="94" spans="1:63" ht="69" thickBot="1">
      <c r="A94" s="1117"/>
      <c r="B94" s="1118" t="str">
        <f>+F13</f>
        <v>SGS-C-Z3-025</v>
      </c>
      <c r="C94" s="1119">
        <f>+K12</f>
        <v>46122</v>
      </c>
      <c r="D94" s="1120" t="str">
        <f>+C12</f>
        <v>SD5- Plataforma de Acopio Zona 3 DP16 - Pila N° 25</v>
      </c>
      <c r="E94" s="1121" t="s">
        <v>616</v>
      </c>
      <c r="F94" s="1122">
        <f>+F22</f>
        <v>100</v>
      </c>
      <c r="G94" s="1122">
        <f>+F23</f>
        <v>100</v>
      </c>
      <c r="H94" s="1122">
        <f>+F24</f>
        <v>100</v>
      </c>
      <c r="I94" s="1122">
        <f>+F25</f>
        <v>96.337256541333346</v>
      </c>
      <c r="J94" s="1122">
        <f>+F26</f>
        <v>93.104579154284067</v>
      </c>
      <c r="K94" s="1122">
        <f>+F27</f>
        <v>90.279999827335359</v>
      </c>
      <c r="L94" s="1122">
        <f>+F28</f>
        <v>86.400955947580215</v>
      </c>
      <c r="M94" s="1122">
        <f>+F29</f>
        <v>81.448014274061421</v>
      </c>
      <c r="N94" s="1122">
        <f>+F30</f>
        <v>78.32602186811603</v>
      </c>
      <c r="O94" s="1122">
        <f>+F31</f>
        <v>72.830639294836232</v>
      </c>
      <c r="P94" s="1122">
        <f>+F32</f>
        <v>70.05591045556028</v>
      </c>
      <c r="Q94" s="1122">
        <f>+F34</f>
        <v>62.47525663522412</v>
      </c>
      <c r="R94" s="1122">
        <f>+F35</f>
        <v>55.490065782435494</v>
      </c>
      <c r="S94" s="1122">
        <f>+F36</f>
        <v>52.573077780713355</v>
      </c>
      <c r="T94" s="1122">
        <f>+F37</f>
        <v>43.726900517330485</v>
      </c>
      <c r="U94" s="1122">
        <f>+F38</f>
        <v>38.455548312437955</v>
      </c>
      <c r="V94" s="1122">
        <f>+F39</f>
        <v>33.608327894145972</v>
      </c>
      <c r="W94" s="1122">
        <f>+F40</f>
        <v>29.505502040091685</v>
      </c>
      <c r="X94" s="1122">
        <f>+F41</f>
        <v>26.441366275671399</v>
      </c>
      <c r="Y94" s="1122">
        <f>+F42</f>
        <v>24.762150630763102</v>
      </c>
      <c r="Z94" s="1122">
        <f>+F43</f>
        <v>22.364507673857958</v>
      </c>
      <c r="AA94" s="1122">
        <f>+F44</f>
        <v>21.066145061815462</v>
      </c>
      <c r="AB94" s="1122">
        <f>+F46</f>
        <v>17.326860739133082</v>
      </c>
      <c r="AC94" s="1123">
        <f>+L34</f>
        <v>31</v>
      </c>
      <c r="AD94" s="1123">
        <f>+L35</f>
        <v>19.384789509554913</v>
      </c>
      <c r="AE94" s="1123">
        <f>+L36</f>
        <v>11.615210490445087</v>
      </c>
      <c r="AF94" s="1123" t="str">
        <f>+AB8</f>
        <v>SC</v>
      </c>
      <c r="AG94" s="1122" t="e">
        <f>+#REF!</f>
        <v>#REF!</v>
      </c>
      <c r="AH94" s="1124" t="s">
        <v>617</v>
      </c>
      <c r="AI94" s="1125" t="str">
        <f>+S56</f>
        <v>C</v>
      </c>
      <c r="AJ94" s="1126" t="e">
        <f>+#REF!</f>
        <v>#REF!</v>
      </c>
      <c r="AK94" s="1127" t="e">
        <f>+#REF!</f>
        <v>#REF!</v>
      </c>
      <c r="AL94" s="1126" t="e">
        <f>+#REF!</f>
        <v>#REF!</v>
      </c>
      <c r="AM94" s="1122" t="e">
        <f>+#REF!</f>
        <v>#REF!</v>
      </c>
      <c r="AN94" s="1126" t="e">
        <f>+#REF!</f>
        <v>#REF!</v>
      </c>
      <c r="AO94" s="1128" t="e">
        <f>+#REF!</f>
        <v>#REF!</v>
      </c>
      <c r="AP94" s="1128" t="e">
        <f>+#REF!</f>
        <v>#REF!</v>
      </c>
      <c r="AQ94" s="1128" t="e">
        <f>+#REF!</f>
        <v>#REF!</v>
      </c>
      <c r="AR94" s="1128" t="e">
        <f>+#REF!</f>
        <v>#REF!</v>
      </c>
      <c r="AS94" s="1128" t="e">
        <f>+#REF!</f>
        <v>#REF!</v>
      </c>
      <c r="AT94" s="1129" t="e">
        <f>+#REF!</f>
        <v>#REF!</v>
      </c>
      <c r="AU94" s="1129" t="e">
        <f>+#REF!</f>
        <v>#REF!</v>
      </c>
      <c r="AV94" s="1129" t="e">
        <f>+#REF!</f>
        <v>#REF!</v>
      </c>
      <c r="AW94" s="1129" t="e">
        <f>+#REF!</f>
        <v>#REF!</v>
      </c>
      <c r="AX94" s="1129" t="e">
        <f>+#REF!</f>
        <v>#REF!</v>
      </c>
      <c r="AY94" s="1128" t="e">
        <f>+#REF!</f>
        <v>#REF!</v>
      </c>
      <c r="AZ94" s="1128" t="e">
        <f>+#REF!</f>
        <v>#REF!</v>
      </c>
      <c r="BA94" s="1128" t="e">
        <f>+#REF!</f>
        <v>#REF!</v>
      </c>
      <c r="BB94" s="1128" t="e">
        <f>+#REF!</f>
        <v>#REF!</v>
      </c>
      <c r="BC94" s="1128" t="e">
        <f>+#REF!</f>
        <v>#REF!</v>
      </c>
      <c r="BD94" s="1129" t="e">
        <f>+#REF!</f>
        <v>#REF!</v>
      </c>
      <c r="BE94" s="1129" t="e">
        <f>+#REF!</f>
        <v>#REF!</v>
      </c>
      <c r="BF94" s="1129" t="e">
        <f>+#REF!</f>
        <v>#REF!</v>
      </c>
      <c r="BG94" s="1129" t="e">
        <f>+#REF!</f>
        <v>#REF!</v>
      </c>
      <c r="BH94" s="1129" t="e">
        <f>+#REF!</f>
        <v>#REF!</v>
      </c>
      <c r="BI94" s="1122" t="e">
        <f>+#REF!</f>
        <v>#REF!</v>
      </c>
      <c r="BJ94" s="1126" t="e">
        <f>+#REF!</f>
        <v>#REF!</v>
      </c>
      <c r="BK94" s="1130" t="s">
        <v>618</v>
      </c>
    </row>
    <row r="95" spans="1:63" ht="16.8" thickBot="1">
      <c r="A95" s="1131" t="s">
        <v>714</v>
      </c>
      <c r="B95" s="1132"/>
      <c r="C95" s="1132"/>
      <c r="D95" s="1132"/>
      <c r="E95" s="1132"/>
      <c r="F95" s="1133"/>
      <c r="G95" s="1134"/>
      <c r="H95" s="1134"/>
      <c r="I95" s="1134"/>
      <c r="J95" s="1134"/>
      <c r="K95" s="1134"/>
      <c r="L95" s="1135"/>
      <c r="M95" s="1135"/>
      <c r="N95" s="1135"/>
      <c r="O95" s="1136"/>
      <c r="P95" s="1136"/>
      <c r="Q95" s="1136"/>
      <c r="R95" s="1137"/>
      <c r="S95" s="1136"/>
      <c r="T95" s="1136"/>
      <c r="U95" s="1136"/>
      <c r="V95" s="1136"/>
      <c r="W95" s="1136"/>
      <c r="X95" s="1136"/>
      <c r="Y95" s="1136"/>
      <c r="Z95" s="1136"/>
      <c r="AA95" s="1138"/>
      <c r="AB95" s="1136"/>
      <c r="AC95" s="1136"/>
    </row>
    <row r="96" spans="1:63" ht="15" thickBot="1"/>
    <row r="97" spans="1:29">
      <c r="A97" s="1429" t="s">
        <v>352</v>
      </c>
      <c r="B97" s="1430"/>
      <c r="C97" s="616"/>
      <c r="D97" s="563"/>
      <c r="E97" s="563"/>
      <c r="F97" s="563"/>
      <c r="G97" s="563"/>
      <c r="H97" s="563"/>
      <c r="I97" s="563"/>
      <c r="J97" s="563"/>
      <c r="K97" s="563"/>
      <c r="L97" s="563"/>
      <c r="M97" s="563"/>
      <c r="N97" s="563"/>
      <c r="O97" s="563"/>
      <c r="P97" s="563"/>
      <c r="Q97" s="563"/>
      <c r="R97" s="563"/>
      <c r="S97" s="563"/>
      <c r="T97" s="563"/>
      <c r="U97" s="563"/>
      <c r="V97" s="562"/>
      <c r="W97" s="562"/>
      <c r="X97" s="562"/>
      <c r="Y97" s="562"/>
      <c r="Z97" s="562"/>
      <c r="AA97" s="562"/>
      <c r="AB97" s="562"/>
      <c r="AC97" s="562"/>
    </row>
    <row r="98" spans="1:29" ht="15" thickBot="1">
      <c r="A98" s="1431"/>
      <c r="B98" s="1432"/>
      <c r="C98" s="562"/>
      <c r="D98" s="617"/>
      <c r="E98" s="618"/>
      <c r="F98" s="619"/>
      <c r="G98" s="562"/>
      <c r="H98" s="562"/>
      <c r="I98" s="562"/>
      <c r="J98" s="562"/>
      <c r="K98" s="619"/>
      <c r="L98" s="562"/>
      <c r="M98" s="562"/>
      <c r="N98" s="562"/>
      <c r="O98" s="562"/>
      <c r="P98" s="562"/>
      <c r="Q98" s="562"/>
      <c r="R98" s="562"/>
      <c r="S98" s="562"/>
      <c r="T98" s="562"/>
      <c r="U98" s="562"/>
      <c r="V98" s="620"/>
      <c r="W98" s="562"/>
      <c r="X98" s="562"/>
      <c r="Y98" s="562"/>
      <c r="Z98" s="562"/>
      <c r="AA98" s="562"/>
      <c r="AB98" s="562"/>
      <c r="AC98" s="562"/>
    </row>
    <row r="99" spans="1:29">
      <c r="A99" s="562"/>
      <c r="B99" s="621"/>
      <c r="C99" s="562"/>
      <c r="D99" s="562"/>
      <c r="E99" s="562"/>
      <c r="F99" s="620"/>
      <c r="G99" s="562"/>
      <c r="H99" s="562"/>
      <c r="I99" s="562"/>
      <c r="J99" s="562"/>
      <c r="K99" s="620"/>
      <c r="L99" s="562"/>
      <c r="M99" s="562"/>
      <c r="N99" s="562"/>
      <c r="O99" s="562"/>
      <c r="P99" s="562"/>
      <c r="Q99" s="562"/>
      <c r="R99" s="562"/>
      <c r="S99" s="562"/>
      <c r="T99" s="562"/>
      <c r="U99" s="562"/>
      <c r="V99" s="620"/>
      <c r="W99" s="562"/>
      <c r="X99" s="562"/>
      <c r="Y99" s="562"/>
      <c r="Z99" s="562"/>
      <c r="AA99" s="562"/>
      <c r="AB99" s="562"/>
      <c r="AC99" s="562"/>
    </row>
    <row r="100" spans="1:29">
      <c r="A100" s="562"/>
      <c r="B100" s="622"/>
      <c r="C100" s="562"/>
      <c r="D100" s="617"/>
      <c r="E100" s="618"/>
      <c r="F100" s="620"/>
      <c r="G100" s="562"/>
      <c r="H100" s="562"/>
      <c r="I100" s="562"/>
      <c r="J100" s="562"/>
      <c r="K100" s="622"/>
      <c r="L100" s="562"/>
      <c r="M100" s="562"/>
      <c r="N100" s="562"/>
      <c r="O100" s="562"/>
      <c r="P100" s="562"/>
      <c r="Q100" s="562"/>
      <c r="R100" s="562"/>
      <c r="S100" s="562"/>
      <c r="T100" s="562"/>
      <c r="U100" s="562"/>
      <c r="V100" s="622"/>
      <c r="W100" s="562"/>
      <c r="X100" s="562"/>
      <c r="Y100" s="562"/>
      <c r="Z100" s="562"/>
      <c r="AA100" s="562"/>
      <c r="AB100" s="562"/>
      <c r="AC100" s="562"/>
    </row>
    <row r="101" spans="1:29">
      <c r="A101" s="1488" t="s">
        <v>468</v>
      </c>
      <c r="B101" s="1489"/>
      <c r="C101" s="1490"/>
      <c r="D101" s="562"/>
      <c r="E101" s="562"/>
      <c r="F101" s="622"/>
      <c r="G101" s="562"/>
      <c r="H101" s="562"/>
      <c r="I101" s="1488" t="s">
        <v>469</v>
      </c>
      <c r="J101" s="1489"/>
      <c r="K101" s="1489"/>
      <c r="L101" s="1489"/>
      <c r="M101" s="1490"/>
      <c r="N101" s="562"/>
      <c r="O101" s="1488" t="s">
        <v>470</v>
      </c>
      <c r="P101" s="1489"/>
      <c r="Q101" s="1489"/>
      <c r="R101" s="1489"/>
      <c r="S101" s="1489"/>
      <c r="T101" s="1489"/>
      <c r="U101" s="1489"/>
      <c r="V101" s="1489"/>
      <c r="W101" s="1489"/>
      <c r="X101" s="1489"/>
      <c r="Y101" s="1489"/>
      <c r="Z101" s="1489"/>
      <c r="AA101" s="1489"/>
      <c r="AB101" s="1489"/>
      <c r="AC101" s="1490"/>
    </row>
    <row r="102" spans="1:29">
      <c r="A102" s="623" t="s">
        <v>451</v>
      </c>
      <c r="B102" s="624">
        <v>406.4</v>
      </c>
      <c r="C102" s="625">
        <v>100</v>
      </c>
      <c r="D102" s="617"/>
      <c r="E102" s="603" t="s">
        <v>14</v>
      </c>
      <c r="F102" s="626">
        <f t="shared" ref="F102:F119" si="13">P27</f>
        <v>0</v>
      </c>
      <c r="G102" s="627">
        <f>F102*3.2</f>
        <v>0</v>
      </c>
      <c r="H102" s="562"/>
      <c r="I102" s="628" t="s">
        <v>54</v>
      </c>
      <c r="J102" s="629" t="s">
        <v>55</v>
      </c>
      <c r="K102" s="629" t="s">
        <v>56</v>
      </c>
      <c r="L102" s="629" t="s">
        <v>57</v>
      </c>
      <c r="M102" s="629" t="s">
        <v>58</v>
      </c>
      <c r="N102" s="562"/>
      <c r="O102" s="810" t="s">
        <v>59</v>
      </c>
      <c r="P102" s="810"/>
      <c r="Q102" s="810" t="s">
        <v>60</v>
      </c>
      <c r="R102" s="810"/>
      <c r="S102" s="810" t="s">
        <v>61</v>
      </c>
      <c r="T102" s="810" t="s">
        <v>62</v>
      </c>
      <c r="U102" s="810" t="s">
        <v>63</v>
      </c>
      <c r="V102" s="810" t="s">
        <v>64</v>
      </c>
      <c r="W102" s="810" t="s">
        <v>64</v>
      </c>
      <c r="X102" s="810"/>
      <c r="Y102" s="810" t="s">
        <v>62</v>
      </c>
      <c r="Z102" s="810" t="s">
        <v>62</v>
      </c>
      <c r="AA102" s="630"/>
      <c r="AB102" s="630"/>
      <c r="AC102" s="630"/>
    </row>
    <row r="103" spans="1:29">
      <c r="A103" s="631"/>
      <c r="B103" s="632">
        <f>B102</f>
        <v>406.4</v>
      </c>
      <c r="C103" s="633">
        <v>0</v>
      </c>
      <c r="D103" s="562"/>
      <c r="E103" s="603" t="s">
        <v>6</v>
      </c>
      <c r="F103" s="626">
        <f t="shared" si="13"/>
        <v>4335</v>
      </c>
      <c r="G103" s="627">
        <f t="shared" ref="G103:G124" si="14">F103*3.2</f>
        <v>13872</v>
      </c>
      <c r="H103" s="562"/>
      <c r="I103" s="634">
        <v>76.2</v>
      </c>
      <c r="J103" s="629" t="s">
        <v>6</v>
      </c>
      <c r="K103" s="635">
        <f t="shared" ref="K103:K110" si="15">C25</f>
        <v>4335</v>
      </c>
      <c r="L103" s="636">
        <f t="shared" ref="L103:L110" si="16">+D25</f>
        <v>3.6627434586666534</v>
      </c>
      <c r="M103" s="636">
        <f t="shared" ref="M103:M110" si="17">+F25</f>
        <v>96.337256541333346</v>
      </c>
      <c r="N103" s="562"/>
      <c r="O103" s="637" t="s">
        <v>51</v>
      </c>
      <c r="P103" s="637" t="s">
        <v>52</v>
      </c>
      <c r="Q103" s="637" t="s">
        <v>51</v>
      </c>
      <c r="R103" s="637" t="s">
        <v>52</v>
      </c>
      <c r="S103" s="637" t="s">
        <v>51</v>
      </c>
      <c r="T103" s="637" t="s">
        <v>52</v>
      </c>
      <c r="U103" s="637" t="s">
        <v>51</v>
      </c>
      <c r="V103" s="637" t="s">
        <v>52</v>
      </c>
      <c r="W103" s="637" t="s">
        <v>51</v>
      </c>
      <c r="X103" s="637" t="s">
        <v>52</v>
      </c>
      <c r="Y103" s="637" t="s">
        <v>51</v>
      </c>
      <c r="Z103" s="637" t="s">
        <v>52</v>
      </c>
      <c r="AA103" s="637">
        <v>10</v>
      </c>
      <c r="AB103" s="637">
        <v>30</v>
      </c>
      <c r="AC103" s="637">
        <v>60</v>
      </c>
    </row>
    <row r="104" spans="1:29">
      <c r="A104" s="623" t="s">
        <v>450</v>
      </c>
      <c r="B104" s="624">
        <v>355.6</v>
      </c>
      <c r="C104" s="625">
        <v>100</v>
      </c>
      <c r="D104" s="617"/>
      <c r="E104" s="603" t="s">
        <v>15</v>
      </c>
      <c r="F104" s="626">
        <f t="shared" si="13"/>
        <v>3826</v>
      </c>
      <c r="G104" s="627">
        <f t="shared" si="14"/>
        <v>12243.2</v>
      </c>
      <c r="H104" s="562"/>
      <c r="I104" s="634">
        <v>63.5</v>
      </c>
      <c r="J104" s="629" t="s">
        <v>15</v>
      </c>
      <c r="K104" s="635">
        <f t="shared" si="15"/>
        <v>3826</v>
      </c>
      <c r="L104" s="636">
        <f t="shared" si="16"/>
        <v>3.2326773870492773</v>
      </c>
      <c r="M104" s="636">
        <f t="shared" si="17"/>
        <v>93.104579154284067</v>
      </c>
      <c r="N104" s="562"/>
      <c r="O104" s="637">
        <f>IF(AA119=AA104,IF(M103&gt;10,M103,M102),0)</f>
        <v>0</v>
      </c>
      <c r="P104" s="637">
        <f>IF(AA119=AA104,IF(M103&lt;=10,M103,M104),0)</f>
        <v>0</v>
      </c>
      <c r="Q104" s="637">
        <f>IF(AB119=AB104,IF(M103&gt;30,M103,M102),0)</f>
        <v>0</v>
      </c>
      <c r="R104" s="637">
        <f>IF(AB119=AB104,IF(M103&lt;=30,M103,M104),0)</f>
        <v>0</v>
      </c>
      <c r="S104" s="637">
        <f>IF(AC119=AC104,IF(M103&gt;60,M103,M102),0)</f>
        <v>0</v>
      </c>
      <c r="T104" s="637">
        <f>IF(AC119=AC104,IF(M103&lt;=60,M103,M104),0)</f>
        <v>0</v>
      </c>
      <c r="U104" s="637">
        <f>IF(AA119=AA104,IF(M103&gt;10,I104,I103),0)</f>
        <v>0</v>
      </c>
      <c r="V104" s="637">
        <f>IF(AA119=AA104,IF(M103&lt;=10,I103,I104),0)</f>
        <v>0</v>
      </c>
      <c r="W104" s="637">
        <f>IF(AB119=AB104,IF(M103&gt;30,I104,I103),0)</f>
        <v>0</v>
      </c>
      <c r="X104" s="637">
        <f>IF(AB119=AB104,IF(M103&lt;=30,I103,I104),0)</f>
        <v>0</v>
      </c>
      <c r="Y104" s="637">
        <f>IF(AC119=AC104,IF(M103&gt;60,I103,I102),0)</f>
        <v>0</v>
      </c>
      <c r="Z104" s="637">
        <f>IF(AC119=AC104,IF(M103&lt;=60,I103,I104),0)</f>
        <v>0</v>
      </c>
      <c r="AA104" s="638">
        <f t="shared" ref="AA104:AA118" si="18">ABS(10-M103)</f>
        <v>86.337256541333346</v>
      </c>
      <c r="AB104" s="638">
        <f t="shared" ref="AB104:AB118" si="19">ABS(30-M103)</f>
        <v>66.337256541333346</v>
      </c>
      <c r="AC104" s="638">
        <f t="shared" ref="AC104:AC118" si="20">ABS(60-M103)</f>
        <v>36.337256541333346</v>
      </c>
    </row>
    <row r="105" spans="1:29">
      <c r="A105" s="631"/>
      <c r="B105" s="632">
        <f>B104</f>
        <v>355.6</v>
      </c>
      <c r="C105" s="633">
        <v>0</v>
      </c>
      <c r="D105" s="562"/>
      <c r="E105" s="603" t="s">
        <v>16</v>
      </c>
      <c r="F105" s="626">
        <f t="shared" si="13"/>
        <v>3343</v>
      </c>
      <c r="G105" s="627">
        <f t="shared" si="14"/>
        <v>10697.6</v>
      </c>
      <c r="H105" s="562"/>
      <c r="I105" s="634">
        <v>50.8</v>
      </c>
      <c r="J105" s="629" t="s">
        <v>16</v>
      </c>
      <c r="K105" s="635">
        <f t="shared" si="15"/>
        <v>3343</v>
      </c>
      <c r="L105" s="636">
        <f t="shared" si="16"/>
        <v>2.8245793269487018</v>
      </c>
      <c r="M105" s="636">
        <f t="shared" si="17"/>
        <v>90.279999827335359</v>
      </c>
      <c r="N105" s="562"/>
      <c r="O105" s="637">
        <f>IF(AA119=AA105,IF(M104&gt;10,M104,M103),0)</f>
        <v>0</v>
      </c>
      <c r="P105" s="637">
        <f>IF(AA119=AA105,IF(M104&lt;=10,M104,M105),0)</f>
        <v>0</v>
      </c>
      <c r="Q105" s="637">
        <f>IF(AB119=AB105,IF(M104&gt;30,M104,M103),0)</f>
        <v>0</v>
      </c>
      <c r="R105" s="637">
        <f>IF(AB119=AB105,IF(M104&lt;=30,M104,M105),0)</f>
        <v>0</v>
      </c>
      <c r="S105" s="637">
        <f>IF(AC119=AC105,IF(M104&gt;60,M104,M103),0)</f>
        <v>0</v>
      </c>
      <c r="T105" s="637">
        <f>IF(AC119=AC105,IF(M104&lt;=60,M104,M105),0)</f>
        <v>0</v>
      </c>
      <c r="U105" s="637">
        <f>IF(AA119=AA105,IF(M104&gt;10,I104,I103),0)</f>
        <v>0</v>
      </c>
      <c r="V105" s="637">
        <f>IF(AA119=AA105,IF(M104&lt;=10,I104,I105),0)</f>
        <v>0</v>
      </c>
      <c r="W105" s="637">
        <f>IF(AB119=AB105,IF(M104&gt;30,I104,I103),0)</f>
        <v>0</v>
      </c>
      <c r="X105" s="637">
        <f>IF(AB119=AB105,IF(M104&lt;=30,I104,I105),0)</f>
        <v>0</v>
      </c>
      <c r="Y105" s="637">
        <f>IF(AC119=AC105,IF(M104&gt;60,I104,I103),0)</f>
        <v>0</v>
      </c>
      <c r="Z105" s="637">
        <f>IF(AC119=AC105,IF(M104&lt;=60,I104,I105),0)</f>
        <v>0</v>
      </c>
      <c r="AA105" s="638">
        <f t="shared" si="18"/>
        <v>83.104579154284067</v>
      </c>
      <c r="AB105" s="638">
        <f t="shared" si="19"/>
        <v>63.104579154284067</v>
      </c>
      <c r="AC105" s="638">
        <f t="shared" si="20"/>
        <v>33.104579154284067</v>
      </c>
    </row>
    <row r="106" spans="1:29">
      <c r="A106" s="623" t="s">
        <v>46</v>
      </c>
      <c r="B106" s="624">
        <v>304.8</v>
      </c>
      <c r="C106" s="625">
        <v>100</v>
      </c>
      <c r="D106" s="617"/>
      <c r="E106" s="603" t="s">
        <v>17</v>
      </c>
      <c r="F106" s="626">
        <f t="shared" si="13"/>
        <v>4591</v>
      </c>
      <c r="G106" s="627">
        <f t="shared" si="14"/>
        <v>14691.2</v>
      </c>
      <c r="H106" s="562"/>
      <c r="I106" s="634">
        <v>38.1</v>
      </c>
      <c r="J106" s="629" t="s">
        <v>17</v>
      </c>
      <c r="K106" s="635">
        <f t="shared" si="15"/>
        <v>4591</v>
      </c>
      <c r="L106" s="636">
        <f t="shared" si="16"/>
        <v>3.879043879755157</v>
      </c>
      <c r="M106" s="636">
        <f t="shared" si="17"/>
        <v>86.400955947580215</v>
      </c>
      <c r="N106" s="562"/>
      <c r="O106" s="637">
        <f>IF(AA119=AA106,IF(M105&gt;10,M105,M104),0)</f>
        <v>0</v>
      </c>
      <c r="P106" s="637">
        <f>IF(AA119=AA106,IF(M105&lt;=10,M105,M106),0)</f>
        <v>0</v>
      </c>
      <c r="Q106" s="637">
        <f>IF(AB119=AB106,IF(M105&gt;30,M105,M104),0)</f>
        <v>0</v>
      </c>
      <c r="R106" s="637">
        <f>IF(AB119=AB106,IF(M105&lt;=30,M105,M106),0)</f>
        <v>0</v>
      </c>
      <c r="S106" s="637">
        <f>IF(AC119=AC106,IF(M105&gt;60,M105,M104),0)</f>
        <v>0</v>
      </c>
      <c r="T106" s="637">
        <f>IF(AC119=AC106,IF(M105&lt;=60,M105,M106),0)</f>
        <v>0</v>
      </c>
      <c r="U106" s="637">
        <f>IF(AA119=AA106,IF(M105&gt;10,I105,I104),0)</f>
        <v>0</v>
      </c>
      <c r="V106" s="637">
        <f>IF(AA119=AA106,IF(M105&lt;=10,I105,I106),0)</f>
        <v>0</v>
      </c>
      <c r="W106" s="637">
        <f>IF(AB119=AB106,IF(M105&gt;30,I105,I104),0)</f>
        <v>0</v>
      </c>
      <c r="X106" s="637">
        <f>IF(AB119=AB106,IF(M105&lt;=30,I105,I106),0)</f>
        <v>0</v>
      </c>
      <c r="Y106" s="637">
        <f>IF(AC119=AC106,IF(M105&gt;60,I105,I104),0)</f>
        <v>0</v>
      </c>
      <c r="Z106" s="637">
        <f>IF(AC119=AC106,IF(M105&lt;=60,I105,I106),0)</f>
        <v>0</v>
      </c>
      <c r="AA106" s="638">
        <f t="shared" si="18"/>
        <v>80.279999827335359</v>
      </c>
      <c r="AB106" s="638">
        <f t="shared" si="19"/>
        <v>60.279999827335359</v>
      </c>
      <c r="AC106" s="638">
        <f t="shared" si="20"/>
        <v>30.279999827335359</v>
      </c>
    </row>
    <row r="107" spans="1:29">
      <c r="A107" s="631"/>
      <c r="B107" s="632">
        <f>B106</f>
        <v>304.8</v>
      </c>
      <c r="C107" s="633">
        <v>0</v>
      </c>
      <c r="D107" s="562"/>
      <c r="E107" s="603" t="s">
        <v>18</v>
      </c>
      <c r="F107" s="626">
        <f t="shared" si="13"/>
        <v>5862</v>
      </c>
      <c r="G107" s="627">
        <f>F107*3.2</f>
        <v>18758.400000000001</v>
      </c>
      <c r="H107" s="562"/>
      <c r="I107" s="634">
        <v>25.4</v>
      </c>
      <c r="J107" s="629" t="s">
        <v>18</v>
      </c>
      <c r="K107" s="635">
        <f t="shared" si="15"/>
        <v>5862</v>
      </c>
      <c r="L107" s="636">
        <f t="shared" si="16"/>
        <v>4.952941673518783</v>
      </c>
      <c r="M107" s="636">
        <f t="shared" si="17"/>
        <v>81.448014274061421</v>
      </c>
      <c r="N107" s="562"/>
      <c r="O107" s="637">
        <f>IF(AA119=AA107,IF(M106&gt;10,M106,M105),0)</f>
        <v>0</v>
      </c>
      <c r="P107" s="637">
        <f>IF(AA119=AA107,IF(M106&lt;=10,M106,M107),0)</f>
        <v>0</v>
      </c>
      <c r="Q107" s="637">
        <f>IF(AB119=AB107,IF(M106&gt;30,M106,M105),0)</f>
        <v>0</v>
      </c>
      <c r="R107" s="637">
        <f>IF(AB119=AB107,IF(M106&lt;=30,M106,M107),0)</f>
        <v>0</v>
      </c>
      <c r="S107" s="637">
        <f>IF(AC119=AC107,IF(M106&gt;60,M106,M105),0)</f>
        <v>0</v>
      </c>
      <c r="T107" s="637">
        <f>IF(AC119=AC107,IF(M106&lt;=60,M106,M107),0)</f>
        <v>0</v>
      </c>
      <c r="U107" s="637">
        <f>IF(AA119=AA107,IF(M106&gt;10,I106,I105),0)</f>
        <v>0</v>
      </c>
      <c r="V107" s="637">
        <f>IF(AA119=AA107,IF(M106&lt;=10,I106,I107),0)</f>
        <v>0</v>
      </c>
      <c r="W107" s="637">
        <f>IF(AB119=AB107,IF(M106&gt;30,I106,I105),0)</f>
        <v>0</v>
      </c>
      <c r="X107" s="637">
        <f>IF(AB119=AB107,IF(M106&lt;=30,I106,I107),0)</f>
        <v>0</v>
      </c>
      <c r="Y107" s="637">
        <f>IF(AC119=AC107,IF(M106&gt;60,I106,I105),0)</f>
        <v>0</v>
      </c>
      <c r="Z107" s="637">
        <f>IF(AC119=AC107,IF(M106&lt;=60,I106,I107),0)</f>
        <v>0</v>
      </c>
      <c r="AA107" s="638">
        <f t="shared" si="18"/>
        <v>76.400955947580215</v>
      </c>
      <c r="AB107" s="638">
        <f t="shared" si="19"/>
        <v>56.400955947580215</v>
      </c>
      <c r="AC107" s="638">
        <f t="shared" si="20"/>
        <v>26.400955947580215</v>
      </c>
    </row>
    <row r="108" spans="1:29">
      <c r="A108" s="623" t="s">
        <v>11</v>
      </c>
      <c r="B108" s="624">
        <v>254</v>
      </c>
      <c r="C108" s="625">
        <v>100</v>
      </c>
      <c r="D108" s="617"/>
      <c r="E108" s="603" t="s">
        <v>19</v>
      </c>
      <c r="F108" s="626">
        <f t="shared" si="13"/>
        <v>3695</v>
      </c>
      <c r="G108" s="627">
        <f t="shared" si="14"/>
        <v>11824</v>
      </c>
      <c r="H108" s="562"/>
      <c r="I108" s="634">
        <v>19.05</v>
      </c>
      <c r="J108" s="629" t="s">
        <v>19</v>
      </c>
      <c r="K108" s="635">
        <f t="shared" si="15"/>
        <v>3695</v>
      </c>
      <c r="L108" s="636">
        <f t="shared" si="16"/>
        <v>3.1219924059453943</v>
      </c>
      <c r="M108" s="636">
        <f t="shared" si="17"/>
        <v>78.32602186811603</v>
      </c>
      <c r="N108" s="562"/>
      <c r="O108" s="637">
        <f>IF(AA119=AA108,IF(M107&gt;10,M107,M106),0)</f>
        <v>0</v>
      </c>
      <c r="P108" s="637">
        <f>IF(AA119=AA108,IF(M107&lt;=10,M107,M108),0)</f>
        <v>0</v>
      </c>
      <c r="Q108" s="637">
        <f>IF(AB119=AB108,IF(M107&gt;30,M107,M106),0)</f>
        <v>0</v>
      </c>
      <c r="R108" s="637">
        <f>IF(AB119=AB108,IF(M107&lt;=30,M107,M108),0)</f>
        <v>0</v>
      </c>
      <c r="S108" s="637">
        <f>IF(AC119=AC108,IF(M107&gt;60,M107,M106),0)</f>
        <v>0</v>
      </c>
      <c r="T108" s="637">
        <f>IF(AC119=AC108,IF(M107&lt;=60,M107,M108),0)</f>
        <v>0</v>
      </c>
      <c r="U108" s="637">
        <f>IF(AA119=AA108,IF(M107&gt;10,I107,I106),0)</f>
        <v>0</v>
      </c>
      <c r="V108" s="637">
        <f>IF(AA119=AA108,IF(M107&lt;=10,I107,I108),0)</f>
        <v>0</v>
      </c>
      <c r="W108" s="637">
        <f>IF(AB119=AB108,IF(M107&gt;30,I107,I106),0)</f>
        <v>0</v>
      </c>
      <c r="X108" s="637">
        <f>IF(AB119=AB108,IF(M107&lt;=30,I107,I108),0)</f>
        <v>0</v>
      </c>
      <c r="Y108" s="637">
        <f>IF(AC119=AC108,IF(M107&gt;60,I107,I106),0)</f>
        <v>0</v>
      </c>
      <c r="Z108" s="637">
        <f>IF(AC119=AC108,IF(M107&lt;=60,I107,I108),0)</f>
        <v>0</v>
      </c>
      <c r="AA108" s="638">
        <f t="shared" si="18"/>
        <v>71.448014274061421</v>
      </c>
      <c r="AB108" s="638">
        <f t="shared" si="19"/>
        <v>51.448014274061421</v>
      </c>
      <c r="AC108" s="638">
        <f t="shared" si="20"/>
        <v>21.448014274061421</v>
      </c>
    </row>
    <row r="109" spans="1:29">
      <c r="A109" s="631"/>
      <c r="B109" s="632">
        <f>B108</f>
        <v>254</v>
      </c>
      <c r="C109" s="633">
        <v>0</v>
      </c>
      <c r="D109" s="562"/>
      <c r="E109" s="603" t="s">
        <v>21</v>
      </c>
      <c r="F109" s="626">
        <f t="shared" si="13"/>
        <v>6504</v>
      </c>
      <c r="G109" s="627">
        <f t="shared" si="14"/>
        <v>20812.800000000003</v>
      </c>
      <c r="H109" s="562"/>
      <c r="I109" s="634">
        <v>12.5</v>
      </c>
      <c r="J109" s="629" t="s">
        <v>21</v>
      </c>
      <c r="K109" s="635">
        <f t="shared" si="15"/>
        <v>6504</v>
      </c>
      <c r="L109" s="636">
        <f t="shared" si="16"/>
        <v>5.4953825732797963</v>
      </c>
      <c r="M109" s="636">
        <f t="shared" si="17"/>
        <v>72.830639294836232</v>
      </c>
      <c r="N109" s="562"/>
      <c r="O109" s="637">
        <f>IF(AA119=AA109,IF(M108&gt;10,M108,M107),0)</f>
        <v>0</v>
      </c>
      <c r="P109" s="637">
        <f>IF(AA119=AA109,IF(M108&lt;=10,M108,M109),0)</f>
        <v>0</v>
      </c>
      <c r="Q109" s="637">
        <f>IF(AB119=AB109,IF(M108&gt;30,M108,M107),0)</f>
        <v>0</v>
      </c>
      <c r="R109" s="637">
        <f>IF(AB119=AB109,IF(M108&lt;=30,M108,M109),0)</f>
        <v>0</v>
      </c>
      <c r="S109" s="637">
        <f>IF(AC119=AC109,IF(M108&gt;60,M108,M107),0)</f>
        <v>0</v>
      </c>
      <c r="T109" s="637">
        <f>IF(AC119=AC109,IF(M108&lt;=60,M108,M109),0)</f>
        <v>0</v>
      </c>
      <c r="U109" s="637">
        <f>IF(AA119=AA109,IF(M108&gt;10,I108,I107),0)</f>
        <v>0</v>
      </c>
      <c r="V109" s="637">
        <f>IF(AA119=AA109,IF(M108&lt;=10,I108,I109),0)</f>
        <v>0</v>
      </c>
      <c r="W109" s="637">
        <f>IF(AB119=AB109,IF(M108&gt;30,I108,I107),0)</f>
        <v>0</v>
      </c>
      <c r="X109" s="637">
        <f>IF(AB119=AB109,IF(M108&lt;=30,I108,I109),0)</f>
        <v>0</v>
      </c>
      <c r="Y109" s="637">
        <f>IF(AC119=AC109,IF(M108&gt;60,I108,I107),0)</f>
        <v>0</v>
      </c>
      <c r="Z109" s="637">
        <f>IF(AC119=AC109,IF(M108&lt;=60,I108,I109),0)</f>
        <v>0</v>
      </c>
      <c r="AA109" s="638">
        <f t="shared" si="18"/>
        <v>68.32602186811603</v>
      </c>
      <c r="AB109" s="638">
        <f t="shared" si="19"/>
        <v>48.32602186811603</v>
      </c>
      <c r="AC109" s="638">
        <f t="shared" si="20"/>
        <v>18.32602186811603</v>
      </c>
    </row>
    <row r="110" spans="1:29">
      <c r="A110" s="623" t="s">
        <v>12</v>
      </c>
      <c r="B110" s="624">
        <v>152.4</v>
      </c>
      <c r="C110" s="625">
        <v>100</v>
      </c>
      <c r="D110" s="617"/>
      <c r="E110" s="603" t="s">
        <v>23</v>
      </c>
      <c r="F110" s="626">
        <f t="shared" si="13"/>
        <v>3284</v>
      </c>
      <c r="G110" s="627">
        <f t="shared" si="14"/>
        <v>10508.800000000001</v>
      </c>
      <c r="H110" s="562"/>
      <c r="I110" s="634">
        <v>9.5</v>
      </c>
      <c r="J110" s="629" t="s">
        <v>23</v>
      </c>
      <c r="K110" s="635">
        <f t="shared" si="15"/>
        <v>3284</v>
      </c>
      <c r="L110" s="636">
        <f t="shared" si="16"/>
        <v>2.7747288392759608</v>
      </c>
      <c r="M110" s="636">
        <f t="shared" si="17"/>
        <v>70.05591045556028</v>
      </c>
      <c r="N110" s="562"/>
      <c r="O110" s="637">
        <f>IF(AA119=AA110,IF(M109&gt;10,M109,M108),0)</f>
        <v>0</v>
      </c>
      <c r="P110" s="637">
        <f>IF(AA119=AA110,IF(M109&lt;=10,M109,M110),0)</f>
        <v>0</v>
      </c>
      <c r="Q110" s="637">
        <f>IF(AB119=AB110,IF(M109&gt;30,M109,M108),0)</f>
        <v>0</v>
      </c>
      <c r="R110" s="637">
        <f>IF(AB119=AB110,IF(M109&lt;=30,M109,M110),0)</f>
        <v>0</v>
      </c>
      <c r="S110" s="637">
        <f>IF(AC119=AC110,IF(M109&gt;60,M109,M108),0)</f>
        <v>0</v>
      </c>
      <c r="T110" s="637">
        <f>IF(AC119=AC110,IF(M109&lt;=60,M109,M110),0)</f>
        <v>0</v>
      </c>
      <c r="U110" s="637">
        <f>IF(AA119=AA110,IF(M109&gt;10,I109,I108),0)</f>
        <v>0</v>
      </c>
      <c r="V110" s="637">
        <f>IF(AA119=AA110,IF(M109&lt;=10,I109,I110),0)</f>
        <v>0</v>
      </c>
      <c r="W110" s="637">
        <f>IF(AB119=AB110,IF(M109&gt;30,I109,I108),0)</f>
        <v>0</v>
      </c>
      <c r="X110" s="637">
        <f>IF(AB119=AB110,IF(M109&lt;=30,I109,I110),0)</f>
        <v>0</v>
      </c>
      <c r="Y110" s="637">
        <f>IF(AC119=AC110,IF(M109&gt;60,I109,I108),0)</f>
        <v>0</v>
      </c>
      <c r="Z110" s="637">
        <f>IF(AC119=AC110,IF(M109&lt;=60,I109,I110),0)</f>
        <v>0</v>
      </c>
      <c r="AA110" s="638">
        <f t="shared" si="18"/>
        <v>62.830639294836232</v>
      </c>
      <c r="AB110" s="638">
        <f t="shared" si="19"/>
        <v>42.830639294836232</v>
      </c>
      <c r="AC110" s="638">
        <f t="shared" si="20"/>
        <v>12.830639294836232</v>
      </c>
    </row>
    <row r="111" spans="1:29">
      <c r="A111" s="631"/>
      <c r="B111" s="632">
        <f>B110</f>
        <v>152.4</v>
      </c>
      <c r="C111" s="633">
        <v>0</v>
      </c>
      <c r="D111" s="562"/>
      <c r="E111" s="603" t="s">
        <v>25</v>
      </c>
      <c r="F111" s="626">
        <f t="shared" si="13"/>
        <v>5458</v>
      </c>
      <c r="G111" s="627">
        <f t="shared" si="14"/>
        <v>17465.600000000002</v>
      </c>
      <c r="H111" s="562"/>
      <c r="I111" s="634">
        <v>4.75</v>
      </c>
      <c r="J111" s="629" t="s">
        <v>69</v>
      </c>
      <c r="K111" s="635">
        <f>C34</f>
        <v>3514</v>
      </c>
      <c r="L111" s="636">
        <f>+D34</f>
        <v>2.9690612488476633</v>
      </c>
      <c r="M111" s="636">
        <f>+F34</f>
        <v>62.47525663522412</v>
      </c>
      <c r="N111" s="562"/>
      <c r="O111" s="637">
        <f>IF(AA119=AA111,IF(M110&gt;10,M110,M109),0)</f>
        <v>0</v>
      </c>
      <c r="P111" s="637">
        <f>IF(AA119=AA111,IF(M110&lt;=10,M110,M111),0)</f>
        <v>0</v>
      </c>
      <c r="Q111" s="637">
        <f>IF(AB119=AB111,IF(M110&gt;30,M110,M109),0)</f>
        <v>0</v>
      </c>
      <c r="R111" s="637">
        <f>IF(AB119=AB111,IF(M110&lt;=30,M110,M111),0)</f>
        <v>0</v>
      </c>
      <c r="S111" s="637">
        <f>IF(AC119=AC111,IF(M110&gt;60,M110,M109),0)</f>
        <v>0</v>
      </c>
      <c r="T111" s="637">
        <f>IF(AC119=AC111,IF(M110&lt;=60,M110,M111),0)</f>
        <v>0</v>
      </c>
      <c r="U111" s="637">
        <f>IF(AA119=AA111,IF(M110&gt;10,I110,I109),0)</f>
        <v>0</v>
      </c>
      <c r="V111" s="637">
        <f>IF(AA119=AA111,IF(M110&lt;=10,I110,I111),0)</f>
        <v>0</v>
      </c>
      <c r="W111" s="637">
        <f>IF(AB119=AB111,IF(M110&gt;30,I110,I109),0)</f>
        <v>0</v>
      </c>
      <c r="X111" s="637">
        <f>IF(AB119=AB111,IF(M110&lt;=30,I110,I111),0)</f>
        <v>0</v>
      </c>
      <c r="Y111" s="637">
        <f>IF(AC119=AC111,IF(M110&gt;60,I110,I109),0)</f>
        <v>0</v>
      </c>
      <c r="Z111" s="637">
        <f>IF(AC119=AC111,IF(M110&lt;=60,I110,I111),0)</f>
        <v>0</v>
      </c>
      <c r="AA111" s="638">
        <f t="shared" si="18"/>
        <v>60.05591045556028</v>
      </c>
      <c r="AB111" s="638">
        <f t="shared" si="19"/>
        <v>40.05591045556028</v>
      </c>
      <c r="AC111" s="638">
        <f t="shared" si="20"/>
        <v>10.05591045556028</v>
      </c>
    </row>
    <row r="112" spans="1:29">
      <c r="A112" s="623" t="s">
        <v>13</v>
      </c>
      <c r="B112" s="624">
        <v>127</v>
      </c>
      <c r="C112" s="625">
        <v>100</v>
      </c>
      <c r="D112" s="617"/>
      <c r="E112" s="603" t="s">
        <v>27</v>
      </c>
      <c r="F112" s="626">
        <f t="shared" si="13"/>
        <v>3514</v>
      </c>
      <c r="G112" s="627">
        <f t="shared" si="14"/>
        <v>11244.800000000001</v>
      </c>
      <c r="H112" s="562"/>
      <c r="I112" s="634">
        <v>2</v>
      </c>
      <c r="J112" s="629" t="s">
        <v>0</v>
      </c>
      <c r="K112" s="635">
        <f>C36</f>
        <v>33.700000000000003</v>
      </c>
      <c r="L112" s="636">
        <f>+D36</f>
        <v>2.9169880017221397</v>
      </c>
      <c r="M112" s="636">
        <f>+F36</f>
        <v>52.573077780713355</v>
      </c>
      <c r="N112" s="562"/>
      <c r="O112" s="637">
        <f>IF(AA119=AA112,IF(M111&gt;10,M111,M110),0)</f>
        <v>0</v>
      </c>
      <c r="P112" s="637">
        <f>IF(AA119=AA112,IF(M111&lt;=10,M111,M112),0)</f>
        <v>0</v>
      </c>
      <c r="Q112" s="637">
        <f>IF(AB119=AB112,IF(M111&gt;30,M111,M110),0)</f>
        <v>0</v>
      </c>
      <c r="R112" s="637">
        <f>IF(AB119=AB112,IF(M111&lt;=30,M111,M112),0)</f>
        <v>0</v>
      </c>
      <c r="S112" s="637">
        <f>IF(AC119=AC112,IF(M111&gt;60,M111,M110),0)</f>
        <v>62.47525663522412</v>
      </c>
      <c r="T112" s="637">
        <f>IF(AC119=AC112,IF(M111&lt;=60,M111,M112),0)</f>
        <v>52.573077780713355</v>
      </c>
      <c r="U112" s="637">
        <f>IF(AA119=AA112,IF(M111&gt;10,I111,I110),0)</f>
        <v>0</v>
      </c>
      <c r="V112" s="637">
        <f>IF(AA119=AA112,IF(M111&lt;=10,I111,I112),0)</f>
        <v>0</v>
      </c>
      <c r="W112" s="637">
        <f>IF(AB119=AB112,IF(M111&gt;30,I111,I110),0)</f>
        <v>0</v>
      </c>
      <c r="X112" s="637">
        <f>IF(AB119=AB112,IF(M111&lt;=30,I111,I112),0)</f>
        <v>0</v>
      </c>
      <c r="Y112" s="637">
        <f>IF(AC119=AC112,IF(M111&gt;60,I111,I110),0)</f>
        <v>4.75</v>
      </c>
      <c r="Z112" s="637">
        <f>IF(AC119=AC112,IF(M111&lt;=60,I111,I112),0)</f>
        <v>2</v>
      </c>
      <c r="AA112" s="638">
        <f t="shared" si="18"/>
        <v>52.47525663522412</v>
      </c>
      <c r="AB112" s="638">
        <f t="shared" si="19"/>
        <v>32.47525663522412</v>
      </c>
      <c r="AC112" s="638">
        <f t="shared" si="20"/>
        <v>2.4752566352241203</v>
      </c>
    </row>
    <row r="113" spans="1:36">
      <c r="A113" s="631"/>
      <c r="B113" s="632">
        <f>B112</f>
        <v>127</v>
      </c>
      <c r="C113" s="633">
        <v>0</v>
      </c>
      <c r="D113" s="562"/>
      <c r="E113" s="603" t="s">
        <v>28</v>
      </c>
      <c r="F113" s="626">
        <f t="shared" si="13"/>
        <v>80.7</v>
      </c>
      <c r="G113" s="627">
        <f t="shared" si="14"/>
        <v>258.24</v>
      </c>
      <c r="H113" s="562"/>
      <c r="I113" s="634">
        <v>0.84</v>
      </c>
      <c r="J113" s="629" t="s">
        <v>70</v>
      </c>
      <c r="K113" s="635">
        <f>C38</f>
        <v>60.9</v>
      </c>
      <c r="L113" s="636">
        <f>+D38</f>
        <v>5.2713522048925308</v>
      </c>
      <c r="M113" s="636">
        <f>+F38</f>
        <v>38.455548312437955</v>
      </c>
      <c r="N113" s="562"/>
      <c r="O113" s="637">
        <f>IF(AA119=AA113,IF(M112&gt;10,M112,M111),0)</f>
        <v>0</v>
      </c>
      <c r="P113" s="637">
        <f>IF(AA119=AA113,IF(M112&lt;=10,M112,M113),0)</f>
        <v>0</v>
      </c>
      <c r="Q113" s="637">
        <f>IF(AB119=AB113,IF(M112&gt;30,M112,M111),0)</f>
        <v>0</v>
      </c>
      <c r="R113" s="637">
        <f>IF(AB119=AB113,IF(M112&lt;=30,M112,M113),0)</f>
        <v>0</v>
      </c>
      <c r="S113" s="637">
        <f>IF(AC119=AC113,IF(M112&gt;60,M112,M111),0)</f>
        <v>0</v>
      </c>
      <c r="T113" s="637">
        <f>IF(AC119=AC113,IF(M112&lt;=60,M112,M113),0)</f>
        <v>0</v>
      </c>
      <c r="U113" s="637">
        <f>IF(AA119=AA113,IF(M112&gt;10,I112,I111),0)</f>
        <v>0</v>
      </c>
      <c r="V113" s="637">
        <f>IF(AA119=AA113,IF(M112&lt;=10,I112,I113),0)</f>
        <v>0</v>
      </c>
      <c r="W113" s="637">
        <f>IF(AB119=AB113,IF(M112&gt;30,I112,I111),0)</f>
        <v>0</v>
      </c>
      <c r="X113" s="637">
        <f>IF(AB119=AB113,IF(M112&lt;=30,I112,I113),0)</f>
        <v>0</v>
      </c>
      <c r="Y113" s="637">
        <f>IF(AC119=AC113,IF(M112&gt;60,I112,I111),0)</f>
        <v>0</v>
      </c>
      <c r="Z113" s="637">
        <f>IF(AC119=AC113,IF(M112&lt;=60,I112,I113),0)</f>
        <v>0</v>
      </c>
      <c r="AA113" s="638">
        <f t="shared" si="18"/>
        <v>42.573077780713355</v>
      </c>
      <c r="AB113" s="638">
        <f t="shared" si="19"/>
        <v>22.573077780713355</v>
      </c>
      <c r="AC113" s="638">
        <f t="shared" si="20"/>
        <v>7.4269222192866451</v>
      </c>
    </row>
    <row r="114" spans="1:36">
      <c r="A114" s="623" t="s">
        <v>14</v>
      </c>
      <c r="B114" s="624">
        <v>101.6</v>
      </c>
      <c r="C114" s="625">
        <v>100</v>
      </c>
      <c r="D114" s="617"/>
      <c r="E114" s="603" t="s">
        <v>29</v>
      </c>
      <c r="F114" s="626">
        <f t="shared" si="13"/>
        <v>33.700000000000003</v>
      </c>
      <c r="G114" s="627">
        <f t="shared" si="14"/>
        <v>107.84000000000002</v>
      </c>
      <c r="H114" s="562"/>
      <c r="I114" s="634">
        <v>0.42499999999999999</v>
      </c>
      <c r="J114" s="629" t="s">
        <v>71</v>
      </c>
      <c r="K114" s="635">
        <f>C40</f>
        <v>47.4</v>
      </c>
      <c r="L114" s="636">
        <f>+D40</f>
        <v>4.1028258540542843</v>
      </c>
      <c r="M114" s="636">
        <f>+F40</f>
        <v>29.505502040091685</v>
      </c>
      <c r="N114" s="562"/>
      <c r="O114" s="637">
        <f>IF(AA119=AA114,IF(M113&gt;10,M113,M112),0)</f>
        <v>0</v>
      </c>
      <c r="P114" s="637">
        <f>IF(AA119=AA114,IF(M113&lt;=10,M113,M114),0)</f>
        <v>0</v>
      </c>
      <c r="Q114" s="637">
        <f>IF(AB119=AB114,IF(M113&gt;30,M113,M112),0)</f>
        <v>0</v>
      </c>
      <c r="R114" s="637">
        <f>IF(AB119=AB114,IF(M113&lt;=30,M113,M114),0)</f>
        <v>0</v>
      </c>
      <c r="S114" s="637">
        <f>IF(AC119=AC114,IF(M113&gt;60,M113,M112),0)</f>
        <v>0</v>
      </c>
      <c r="T114" s="637">
        <f>IF(AC119=AC114,IF(M113&lt;=60,M113,M114),0)</f>
        <v>0</v>
      </c>
      <c r="U114" s="637">
        <f>IF(AA119=AA114,IF(M113&gt;10,I113,I112),0)</f>
        <v>0</v>
      </c>
      <c r="V114" s="637">
        <f>IF(AA119=AA114,IF(M113&lt;=10,I113,I114),0)</f>
        <v>0</v>
      </c>
      <c r="W114" s="637">
        <f>IF(AB119=AB114,IF(M113&gt;30,I113,I112),0)</f>
        <v>0</v>
      </c>
      <c r="X114" s="637">
        <f>IF(AB119=AB114,IF(M113&lt;=30,I113,I114),0)</f>
        <v>0</v>
      </c>
      <c r="Y114" s="637">
        <f>IF(AC119=AC114,IF(M113&gt;60,I113,I112),0)</f>
        <v>0</v>
      </c>
      <c r="Z114" s="637">
        <f>IF(AC119=AC114,IF(M113&lt;=60,I113,I114),0)</f>
        <v>0</v>
      </c>
      <c r="AA114" s="638">
        <f t="shared" si="18"/>
        <v>28.455548312437955</v>
      </c>
      <c r="AB114" s="638">
        <f t="shared" si="19"/>
        <v>8.4555483124379549</v>
      </c>
      <c r="AC114" s="638">
        <f t="shared" si="20"/>
        <v>21.544451687562045</v>
      </c>
    </row>
    <row r="115" spans="1:36">
      <c r="A115" s="631"/>
      <c r="B115" s="632">
        <f>B114</f>
        <v>101.6</v>
      </c>
      <c r="C115" s="633">
        <v>0</v>
      </c>
      <c r="D115" s="562"/>
      <c r="E115" s="603" t="s">
        <v>32</v>
      </c>
      <c r="F115" s="626">
        <f t="shared" si="13"/>
        <v>102.2</v>
      </c>
      <c r="G115" s="627">
        <f t="shared" si="14"/>
        <v>327.04000000000002</v>
      </c>
      <c r="H115" s="562"/>
      <c r="I115" s="634">
        <v>0.29699999999999999</v>
      </c>
      <c r="J115" s="629" t="s">
        <v>72</v>
      </c>
      <c r="K115" s="635">
        <f>C41</f>
        <v>35.4</v>
      </c>
      <c r="L115" s="636">
        <f>+D41</f>
        <v>3.0641357644202887</v>
      </c>
      <c r="M115" s="636">
        <f>+F41</f>
        <v>26.441366275671399</v>
      </c>
      <c r="N115" s="562"/>
      <c r="O115" s="637">
        <f>IF(AA119=AA115,IF(M114&gt;10,M114,M113),0)</f>
        <v>0</v>
      </c>
      <c r="P115" s="637">
        <f>IF(AA119=AA115,IF(M114&lt;=10,M114,M115),0)</f>
        <v>0</v>
      </c>
      <c r="Q115" s="637">
        <f>IF(AB119=AB115,IF(M114&gt;30,M114,M113),0)</f>
        <v>38.455548312437955</v>
      </c>
      <c r="R115" s="637">
        <f>IF(AB119=AB115,IF(M114&lt;=30,M114,M115),0)</f>
        <v>29.505502040091685</v>
      </c>
      <c r="S115" s="637">
        <f>IF(AC119=AC115,IF(M114&gt;60,M114,M113),0)</f>
        <v>0</v>
      </c>
      <c r="T115" s="637">
        <f>IF(AC119=AC115,IF(M114&lt;=60,M114,M115),0)</f>
        <v>0</v>
      </c>
      <c r="U115" s="637">
        <f>IF(AA119=AA115,IF(M114&gt;10,I114,I113),0)</f>
        <v>0</v>
      </c>
      <c r="V115" s="637">
        <f>IF(AA119=AA115,IF(M114&lt;=10,I114,I115),0)</f>
        <v>0</v>
      </c>
      <c r="W115" s="637">
        <f>IF(AB119=AB115,IF(M114&gt;30,I114,I113),0)</f>
        <v>0.84</v>
      </c>
      <c r="X115" s="637">
        <f>IF(AB119=AB115,IF(M114&lt;=30,I114,I115),0)</f>
        <v>0.42499999999999999</v>
      </c>
      <c r="Y115" s="637">
        <f>IF(AC119=AC115,IF(M114&gt;60,I114,I113),0)</f>
        <v>0</v>
      </c>
      <c r="Z115" s="637">
        <f>IF(AC119=AC115,IF(M114&lt;=60,I114,I115),0)</f>
        <v>0</v>
      </c>
      <c r="AA115" s="638">
        <f t="shared" si="18"/>
        <v>19.505502040091685</v>
      </c>
      <c r="AB115" s="638">
        <f t="shared" si="19"/>
        <v>0.49449795990831547</v>
      </c>
      <c r="AC115" s="638">
        <f t="shared" si="20"/>
        <v>30.494497959908315</v>
      </c>
    </row>
    <row r="116" spans="1:36">
      <c r="A116" s="623" t="s">
        <v>6</v>
      </c>
      <c r="B116" s="624">
        <v>76.2</v>
      </c>
      <c r="C116" s="625">
        <v>100</v>
      </c>
      <c r="D116" s="617"/>
      <c r="E116" s="603" t="s">
        <v>34</v>
      </c>
      <c r="F116" s="626">
        <f t="shared" si="13"/>
        <v>60.9</v>
      </c>
      <c r="G116" s="627">
        <f t="shared" si="14"/>
        <v>194.88</v>
      </c>
      <c r="H116" s="562"/>
      <c r="I116" s="634">
        <v>0.15</v>
      </c>
      <c r="J116" s="629" t="s">
        <v>73</v>
      </c>
      <c r="K116" s="635">
        <f>C44</f>
        <v>15</v>
      </c>
      <c r="L116" s="636">
        <f>+D44</f>
        <v>1.2983626120424951</v>
      </c>
      <c r="M116" s="636">
        <f>+F44</f>
        <v>21.066145061815462</v>
      </c>
      <c r="N116" s="562"/>
      <c r="O116" s="637">
        <f>IF(AA119=AA116,IF(M115&gt;10,M115,M114),0)</f>
        <v>0</v>
      </c>
      <c r="P116" s="637">
        <f>IF(AA119=AA116,IF(M115&lt;=10,M115,M116),0)</f>
        <v>0</v>
      </c>
      <c r="Q116" s="637">
        <f>IF(AB119=AB116,IF(M115&gt;30,M115,M114),0)</f>
        <v>0</v>
      </c>
      <c r="R116" s="637">
        <f>IF(AB119=AB116,IF(M115&lt;=30,M115,M116),0)</f>
        <v>0</v>
      </c>
      <c r="S116" s="637">
        <f>IF(AC119=AC116,IF(M115&gt;60,M115,M114),0)</f>
        <v>0</v>
      </c>
      <c r="T116" s="637">
        <f>IF(AC119=AC116,IF(M115&lt;=60,M115,M116),0)</f>
        <v>0</v>
      </c>
      <c r="U116" s="637">
        <f>IF(AA119=AA116,IF(M115&gt;10,I115,I114),0)</f>
        <v>0</v>
      </c>
      <c r="V116" s="637">
        <f>IF(AA119=AA116,IF(M115&lt;=10,I115,I116),0)</f>
        <v>0</v>
      </c>
      <c r="W116" s="637">
        <f>IF(AB119=AB116,IF(M115&gt;30,I115,I114),0)</f>
        <v>0</v>
      </c>
      <c r="X116" s="637">
        <f>IF(AB119=AB116,IF(M115&lt;=30,I115,I116),0)</f>
        <v>0</v>
      </c>
      <c r="Y116" s="637">
        <f>IF(AC119=AC116,IF(M115&gt;60,I115,I114),0)</f>
        <v>0</v>
      </c>
      <c r="Z116" s="637">
        <f>IF(AC119=AC116,IF(M115&lt;=60,I115,I116),0)</f>
        <v>0</v>
      </c>
      <c r="AA116" s="638">
        <f t="shared" si="18"/>
        <v>16.441366275671399</v>
      </c>
      <c r="AB116" s="638">
        <f t="shared" si="19"/>
        <v>3.558633724328601</v>
      </c>
      <c r="AC116" s="638">
        <f t="shared" si="20"/>
        <v>33.558633724328601</v>
      </c>
    </row>
    <row r="117" spans="1:36">
      <c r="A117" s="631"/>
      <c r="B117" s="632">
        <f>B116</f>
        <v>76.2</v>
      </c>
      <c r="C117" s="633">
        <v>0</v>
      </c>
      <c r="D117" s="562"/>
      <c r="E117" s="603" t="s">
        <v>36</v>
      </c>
      <c r="F117" s="626">
        <f t="shared" si="13"/>
        <v>56</v>
      </c>
      <c r="G117" s="627">
        <f t="shared" si="14"/>
        <v>179.20000000000002</v>
      </c>
      <c r="H117" s="562"/>
      <c r="I117" s="634">
        <v>7.4999999999999997E-2</v>
      </c>
      <c r="J117" s="629" t="s">
        <v>1</v>
      </c>
      <c r="K117" s="635">
        <f>C46</f>
        <v>43.2</v>
      </c>
      <c r="L117" s="636">
        <f>+D46</f>
        <v>3.7392843226823866</v>
      </c>
      <c r="M117" s="636">
        <f>+F46</f>
        <v>17.326860739133082</v>
      </c>
      <c r="N117" s="562"/>
      <c r="O117" s="637">
        <f>IF(AA119=AA117,IF(M116&gt;10,M116,M115),0)</f>
        <v>0</v>
      </c>
      <c r="P117" s="637">
        <f>IF(AA119=AA117,IF(M116&lt;=10,M116,M117),0)</f>
        <v>0</v>
      </c>
      <c r="Q117" s="637">
        <f>IF(AB119=AB117,IF(M116&gt;30,M116,M115),0)</f>
        <v>0</v>
      </c>
      <c r="R117" s="637">
        <f>IF(AB119=AB117,IF(M116&lt;=30,M116,M117),0)</f>
        <v>0</v>
      </c>
      <c r="S117" s="637">
        <f>IF(AC119=AC117,IF(M116&gt;60,M116,M115),0)</f>
        <v>0</v>
      </c>
      <c r="T117" s="637">
        <f>IF(AC119=AC117,IF(M116&lt;=60,M116,M117),0)</f>
        <v>0</v>
      </c>
      <c r="U117" s="637">
        <f>IF(AA119=AA117,IF(M116&gt;10,I116,I115),0)</f>
        <v>0</v>
      </c>
      <c r="V117" s="637">
        <f>IF(AA119=AA117,IF(M116&lt;=10,I116,I117),0)</f>
        <v>0</v>
      </c>
      <c r="W117" s="637">
        <f>IF(AB119=AB117,IF(M116&gt;30,I116,I115),0)</f>
        <v>0</v>
      </c>
      <c r="X117" s="637">
        <f>IF(AB119=AB117,IF(M116&lt;=30,I116,I117),0)</f>
        <v>0</v>
      </c>
      <c r="Y117" s="637">
        <f>IF(AC119=AC117,IF(M116&gt;60,I116,I115),0)</f>
        <v>0</v>
      </c>
      <c r="Z117" s="637">
        <f>IF(AC119=AC117,IF(M116&lt;=60,I116,I117),0)</f>
        <v>0</v>
      </c>
      <c r="AA117" s="638">
        <f t="shared" si="18"/>
        <v>11.066145061815462</v>
      </c>
      <c r="AB117" s="638">
        <f t="shared" si="19"/>
        <v>8.9338549381845382</v>
      </c>
      <c r="AC117" s="638">
        <f t="shared" si="20"/>
        <v>38.933854938184538</v>
      </c>
    </row>
    <row r="118" spans="1:36">
      <c r="A118" s="623" t="s">
        <v>15</v>
      </c>
      <c r="B118" s="624">
        <v>63.5</v>
      </c>
      <c r="C118" s="625">
        <v>100</v>
      </c>
      <c r="D118" s="617"/>
      <c r="E118" s="603" t="s">
        <v>38</v>
      </c>
      <c r="F118" s="626">
        <f t="shared" si="13"/>
        <v>47.4</v>
      </c>
      <c r="G118" s="627">
        <f t="shared" si="14"/>
        <v>151.68</v>
      </c>
      <c r="H118" s="562"/>
      <c r="I118" s="639">
        <v>0</v>
      </c>
      <c r="J118" s="629" t="s">
        <v>44</v>
      </c>
      <c r="K118" s="636">
        <f>C47</f>
        <v>200.17744555824424</v>
      </c>
      <c r="L118" s="636">
        <f>+D47</f>
        <v>17.326860739133092</v>
      </c>
      <c r="M118" s="636">
        <f>+F47</f>
        <v>0</v>
      </c>
      <c r="N118" s="562"/>
      <c r="O118" s="637">
        <f>IF(AA119=AA118,IF(M117&gt;10,M117,M116),0)</f>
        <v>17.326860739133082</v>
      </c>
      <c r="P118" s="637">
        <f>IF(AA119=AA118,IF(M117&lt;=10,M117,M118),0)</f>
        <v>0</v>
      </c>
      <c r="Q118" s="637">
        <f>IF(AB119=AB118,IF(M117&gt;30,M117,M116),0)</f>
        <v>0</v>
      </c>
      <c r="R118" s="637">
        <f>IF(AB119=AB118,IF(M117&lt;=30,M117,M118),0)</f>
        <v>0</v>
      </c>
      <c r="S118" s="637">
        <f>IF(AC119=AC118,IF(M117&gt;60,M117,M116),0)</f>
        <v>0</v>
      </c>
      <c r="T118" s="637">
        <f>IF(AC119=AC118,IF(M117&lt;=60,M117,M118),0)</f>
        <v>0</v>
      </c>
      <c r="U118" s="637">
        <f>IF(AA119=AA118,IF(M117&gt;10,I117,I116),0)</f>
        <v>7.4999999999999997E-2</v>
      </c>
      <c r="V118" s="637">
        <f>IF(AA119=AA118,IF(M117&lt;=10,I117,I118),0)</f>
        <v>0</v>
      </c>
      <c r="W118" s="637">
        <f>IF(AB119=AB118,IF(M117&gt;30,I117,I116),0)</f>
        <v>0</v>
      </c>
      <c r="X118" s="637">
        <f>IF(AB119=AB118,IF(M117&lt;=30,I117,I118),0)</f>
        <v>0</v>
      </c>
      <c r="Y118" s="637">
        <f>IF(AC119=AC118,IF(M117&gt;60,I117,I116),0)</f>
        <v>0</v>
      </c>
      <c r="Z118" s="637">
        <f>IF(AC119=AC118,IF(M117&lt;=60,I117,I118),0)</f>
        <v>0</v>
      </c>
      <c r="AA118" s="638">
        <f t="shared" si="18"/>
        <v>7.3268607391330818</v>
      </c>
      <c r="AB118" s="638">
        <f t="shared" si="19"/>
        <v>12.673139260866918</v>
      </c>
      <c r="AC118" s="638">
        <f t="shared" si="20"/>
        <v>42.673139260866918</v>
      </c>
    </row>
    <row r="119" spans="1:36">
      <c r="A119" s="631"/>
      <c r="B119" s="632">
        <f>B118</f>
        <v>63.5</v>
      </c>
      <c r="C119" s="633">
        <v>0</v>
      </c>
      <c r="D119" s="562"/>
      <c r="E119" s="603" t="s">
        <v>39</v>
      </c>
      <c r="F119" s="626">
        <f t="shared" si="13"/>
        <v>35.4</v>
      </c>
      <c r="G119" s="627">
        <f t="shared" si="14"/>
        <v>113.28</v>
      </c>
      <c r="H119" s="562"/>
      <c r="I119" s="562"/>
      <c r="J119" s="562"/>
      <c r="K119" s="562"/>
      <c r="L119" s="562"/>
      <c r="M119" s="562"/>
      <c r="N119" s="562"/>
      <c r="O119" s="640">
        <f>MAX(O104:O118)</f>
        <v>17.326860739133082</v>
      </c>
      <c r="P119" s="640">
        <f t="shared" ref="P119:Z119" si="21">MAX(P104:P118)</f>
        <v>0</v>
      </c>
      <c r="Q119" s="640">
        <f t="shared" si="21"/>
        <v>38.455548312437955</v>
      </c>
      <c r="R119" s="640">
        <f t="shared" si="21"/>
        <v>29.505502040091685</v>
      </c>
      <c r="S119" s="640">
        <f t="shared" si="21"/>
        <v>62.47525663522412</v>
      </c>
      <c r="T119" s="640">
        <f t="shared" si="21"/>
        <v>52.573077780713355</v>
      </c>
      <c r="U119" s="640">
        <f>MAX(U104:U118)</f>
        <v>7.4999999999999997E-2</v>
      </c>
      <c r="V119" s="640">
        <f t="shared" si="21"/>
        <v>0</v>
      </c>
      <c r="W119" s="640">
        <f t="shared" si="21"/>
        <v>0.84</v>
      </c>
      <c r="X119" s="640">
        <f t="shared" si="21"/>
        <v>0.42499999999999999</v>
      </c>
      <c r="Y119" s="640">
        <f t="shared" si="21"/>
        <v>4.75</v>
      </c>
      <c r="Z119" s="640">
        <f t="shared" si="21"/>
        <v>2</v>
      </c>
      <c r="AA119" s="641">
        <f>MIN(AA104:AA118)</f>
        <v>7.3268607391330818</v>
      </c>
      <c r="AB119" s="641">
        <f>MIN(AB104:AB118)</f>
        <v>0.49449795990831547</v>
      </c>
      <c r="AC119" s="641">
        <f>MIN(AC104:AC118)</f>
        <v>2.4752566352241203</v>
      </c>
    </row>
    <row r="120" spans="1:36">
      <c r="A120" s="623" t="s">
        <v>16</v>
      </c>
      <c r="B120" s="624">
        <v>50.8</v>
      </c>
      <c r="C120" s="625">
        <v>100</v>
      </c>
      <c r="D120" s="617"/>
      <c r="E120" s="603" t="s">
        <v>40</v>
      </c>
      <c r="F120" s="626">
        <f>P46</f>
        <v>19.399999999999999</v>
      </c>
      <c r="G120" s="627">
        <f t="shared" si="14"/>
        <v>62.08</v>
      </c>
      <c r="H120" s="562"/>
      <c r="I120" s="642">
        <v>1</v>
      </c>
      <c r="J120" s="643">
        <v>0</v>
      </c>
      <c r="K120" s="643">
        <v>0</v>
      </c>
      <c r="L120" s="562"/>
      <c r="M120" s="562"/>
      <c r="N120" s="562"/>
      <c r="O120" s="562"/>
      <c r="P120" s="562"/>
      <c r="Q120" s="562"/>
      <c r="R120" s="562"/>
      <c r="S120" s="562"/>
      <c r="T120" s="562"/>
      <c r="U120" s="562"/>
      <c r="V120" s="562"/>
      <c r="W120" s="562"/>
      <c r="X120" s="562"/>
      <c r="Y120" s="562"/>
      <c r="Z120" s="562"/>
      <c r="AA120" s="562"/>
      <c r="AB120" s="562"/>
      <c r="AC120" s="562"/>
    </row>
    <row r="121" spans="1:36">
      <c r="A121" s="631"/>
      <c r="B121" s="632">
        <f>B120</f>
        <v>50.8</v>
      </c>
      <c r="C121" s="633">
        <v>0</v>
      </c>
      <c r="D121" s="562"/>
      <c r="E121" s="603" t="s">
        <v>41</v>
      </c>
      <c r="F121" s="626">
        <f>P47</f>
        <v>27.7</v>
      </c>
      <c r="G121" s="627">
        <f t="shared" si="14"/>
        <v>88.64</v>
      </c>
      <c r="H121" s="562"/>
      <c r="I121" s="644">
        <v>2</v>
      </c>
      <c r="J121" s="645">
        <f>B46</f>
        <v>7.4999999999999997E-2</v>
      </c>
      <c r="K121" s="646">
        <f>IF(F46=0,100,F46)</f>
        <v>17.326860739133082</v>
      </c>
      <c r="L121" s="562"/>
      <c r="M121" s="562"/>
      <c r="N121" s="562"/>
      <c r="O121" s="647" t="s">
        <v>74</v>
      </c>
      <c r="P121" s="637">
        <v>10</v>
      </c>
      <c r="Q121" s="637">
        <v>30</v>
      </c>
      <c r="R121" s="637">
        <v>60</v>
      </c>
      <c r="S121" s="648"/>
      <c r="T121" s="648"/>
      <c r="U121" s="649"/>
      <c r="V121" s="562"/>
      <c r="W121" s="562"/>
      <c r="X121" s="562"/>
      <c r="Y121" s="562"/>
      <c r="Z121" s="562"/>
      <c r="AA121" s="562"/>
      <c r="AB121" s="562"/>
      <c r="AC121" s="562"/>
      <c r="AI121" s="14"/>
      <c r="AJ121" s="13"/>
    </row>
    <row r="122" spans="1:36">
      <c r="A122" s="623" t="s">
        <v>17</v>
      </c>
      <c r="B122" s="624">
        <v>38.1</v>
      </c>
      <c r="C122" s="625">
        <v>100</v>
      </c>
      <c r="D122" s="617"/>
      <c r="E122" s="603" t="s">
        <v>42</v>
      </c>
      <c r="F122" s="626">
        <f>P48</f>
        <v>15</v>
      </c>
      <c r="G122" s="627">
        <f t="shared" si="14"/>
        <v>48</v>
      </c>
      <c r="H122" s="562"/>
      <c r="I122" s="644">
        <v>3</v>
      </c>
      <c r="J122" s="645">
        <f>B44</f>
        <v>0.15</v>
      </c>
      <c r="K122" s="646">
        <f>IF(F44=0,100,F44)</f>
        <v>21.066145061815462</v>
      </c>
      <c r="L122" s="562"/>
      <c r="M122" s="562"/>
      <c r="N122" s="562"/>
      <c r="O122" s="647" t="s">
        <v>75</v>
      </c>
      <c r="P122" s="637">
        <f>U119</f>
        <v>7.4999999999999997E-2</v>
      </c>
      <c r="Q122" s="637">
        <f>W119</f>
        <v>0.84</v>
      </c>
      <c r="R122" s="637">
        <f>Y119</f>
        <v>4.75</v>
      </c>
      <c r="S122" s="648"/>
      <c r="T122" s="648"/>
      <c r="U122" s="564"/>
      <c r="V122" s="562"/>
      <c r="W122" s="562"/>
      <c r="X122" s="562"/>
      <c r="Y122" s="562"/>
      <c r="Z122" s="562"/>
      <c r="AA122" s="562"/>
      <c r="AB122" s="562"/>
      <c r="AC122" s="562"/>
      <c r="AI122" s="14"/>
      <c r="AJ122" s="13"/>
    </row>
    <row r="123" spans="1:36">
      <c r="A123" s="631"/>
      <c r="B123" s="632">
        <f>B122</f>
        <v>38.1</v>
      </c>
      <c r="C123" s="633">
        <v>0</v>
      </c>
      <c r="D123" s="562"/>
      <c r="E123" s="603" t="s">
        <v>336</v>
      </c>
      <c r="F123" s="626" t="e">
        <f>#REF!</f>
        <v>#REF!</v>
      </c>
      <c r="G123" s="627" t="e">
        <f t="shared" si="14"/>
        <v>#REF!</v>
      </c>
      <c r="H123" s="562"/>
      <c r="I123" s="644">
        <v>4</v>
      </c>
      <c r="J123" s="645">
        <f>B43</f>
        <v>0.17699999999999999</v>
      </c>
      <c r="K123" s="646">
        <f>IF(F43=0,100,F43)</f>
        <v>22.364507673857958</v>
      </c>
      <c r="L123" s="562"/>
      <c r="M123" s="562"/>
      <c r="N123" s="562"/>
      <c r="O123" s="647" t="s">
        <v>76</v>
      </c>
      <c r="P123" s="637">
        <f>V119</f>
        <v>0</v>
      </c>
      <c r="Q123" s="637">
        <f>X119</f>
        <v>0.42499999999999999</v>
      </c>
      <c r="R123" s="637">
        <f>Z119</f>
        <v>2</v>
      </c>
      <c r="S123" s="648"/>
      <c r="T123" s="648"/>
      <c r="U123" s="564"/>
      <c r="V123" s="562"/>
      <c r="W123" s="562"/>
      <c r="X123" s="562"/>
      <c r="Y123" s="562"/>
      <c r="Z123" s="562"/>
      <c r="AA123" s="562"/>
      <c r="AB123" s="562"/>
      <c r="AC123" s="562"/>
      <c r="AI123" s="14"/>
      <c r="AJ123" s="13"/>
    </row>
    <row r="124" spans="1:36">
      <c r="A124" s="623" t="s">
        <v>18</v>
      </c>
      <c r="B124" s="624">
        <v>25.4</v>
      </c>
      <c r="C124" s="625">
        <v>100</v>
      </c>
      <c r="D124" s="617"/>
      <c r="E124" s="603" t="s">
        <v>43</v>
      </c>
      <c r="F124" s="626">
        <f>P49</f>
        <v>43.2</v>
      </c>
      <c r="G124" s="627">
        <f t="shared" si="14"/>
        <v>138.24</v>
      </c>
      <c r="H124" s="562"/>
      <c r="I124" s="644">
        <v>5</v>
      </c>
      <c r="J124" s="645">
        <f>B41</f>
        <v>0.29699999999999999</v>
      </c>
      <c r="K124" s="646">
        <f>IF(F41=0,100,F41)</f>
        <v>26.441366275671399</v>
      </c>
      <c r="L124" s="562"/>
      <c r="M124" s="562"/>
      <c r="N124" s="562"/>
      <c r="O124" s="647"/>
      <c r="P124" s="637"/>
      <c r="Q124" s="637"/>
      <c r="R124" s="637"/>
      <c r="S124" s="648"/>
      <c r="T124" s="648"/>
      <c r="U124" s="564"/>
      <c r="V124" s="562"/>
      <c r="W124" s="562"/>
      <c r="X124" s="562"/>
      <c r="Y124" s="562"/>
      <c r="Z124" s="562"/>
      <c r="AA124" s="562"/>
      <c r="AB124" s="562"/>
      <c r="AC124" s="562"/>
      <c r="AI124" s="14"/>
      <c r="AJ124" s="13"/>
    </row>
    <row r="125" spans="1:36">
      <c r="A125" s="631"/>
      <c r="B125" s="632">
        <f>B124</f>
        <v>25.4</v>
      </c>
      <c r="C125" s="633">
        <v>0</v>
      </c>
      <c r="D125" s="1433" t="s">
        <v>85</v>
      </c>
      <c r="E125" s="1434"/>
      <c r="F125" s="626">
        <f>R29</f>
        <v>81228</v>
      </c>
      <c r="G125" s="626">
        <f>F125*3.2</f>
        <v>259929.60000000001</v>
      </c>
      <c r="H125" s="562"/>
      <c r="I125" s="644">
        <v>6</v>
      </c>
      <c r="J125" s="645">
        <f>B40</f>
        <v>0.42499999999999999</v>
      </c>
      <c r="K125" s="646">
        <f>IF(F40=0,100,F40)</f>
        <v>29.505502040091685</v>
      </c>
      <c r="L125" s="562"/>
      <c r="M125" s="562"/>
      <c r="N125" s="562"/>
      <c r="O125" s="647" t="s">
        <v>77</v>
      </c>
      <c r="P125" s="637">
        <f>O119</f>
        <v>17.326860739133082</v>
      </c>
      <c r="Q125" s="637">
        <f>Q119</f>
        <v>38.455548312437955</v>
      </c>
      <c r="R125" s="637">
        <f>S119</f>
        <v>62.47525663522412</v>
      </c>
      <c r="S125" s="648"/>
      <c r="T125" s="648"/>
      <c r="U125" s="564"/>
      <c r="V125" s="562"/>
      <c r="W125" s="562"/>
      <c r="X125" s="562"/>
      <c r="Y125" s="562"/>
      <c r="Z125" s="562"/>
      <c r="AA125" s="562"/>
      <c r="AB125" s="562"/>
      <c r="AC125" s="562"/>
      <c r="AI125" s="14"/>
      <c r="AJ125" s="13"/>
    </row>
    <row r="126" spans="1:36">
      <c r="A126" s="623" t="s">
        <v>19</v>
      </c>
      <c r="B126" s="624">
        <v>19.05</v>
      </c>
      <c r="C126" s="625">
        <v>100</v>
      </c>
      <c r="D126" s="1433" t="s">
        <v>88</v>
      </c>
      <c r="E126" s="1434"/>
      <c r="F126" s="626">
        <f>R49</f>
        <v>1408.8</v>
      </c>
      <c r="G126" s="626">
        <f>F126*3.2</f>
        <v>4508.16</v>
      </c>
      <c r="H126" s="562"/>
      <c r="I126" s="644">
        <v>7</v>
      </c>
      <c r="J126" s="645">
        <f>B39</f>
        <v>0.6</v>
      </c>
      <c r="K126" s="646">
        <f>IF(F39=0,100,F39)</f>
        <v>33.608327894145972</v>
      </c>
      <c r="L126" s="562"/>
      <c r="M126" s="562"/>
      <c r="N126" s="562"/>
      <c r="O126" s="647" t="s">
        <v>78</v>
      </c>
      <c r="P126" s="637">
        <f>P119</f>
        <v>0</v>
      </c>
      <c r="Q126" s="637">
        <f>R119</f>
        <v>29.505502040091685</v>
      </c>
      <c r="R126" s="637">
        <f>T119</f>
        <v>52.573077780713355</v>
      </c>
      <c r="S126" s="648"/>
      <c r="T126" s="648"/>
      <c r="U126" s="564"/>
      <c r="V126" s="562"/>
      <c r="W126" s="562"/>
      <c r="X126" s="562"/>
      <c r="Y126" s="562"/>
      <c r="Z126" s="562"/>
      <c r="AA126" s="562"/>
      <c r="AB126" s="562"/>
      <c r="AC126" s="562"/>
      <c r="AI126" s="14"/>
      <c r="AJ126" s="13"/>
    </row>
    <row r="127" spans="1:36">
      <c r="A127" s="631"/>
      <c r="B127" s="632">
        <f>B126</f>
        <v>19.05</v>
      </c>
      <c r="C127" s="633">
        <v>0</v>
      </c>
      <c r="D127" s="562"/>
      <c r="E127" s="562"/>
      <c r="F127" s="562"/>
      <c r="G127" s="562"/>
      <c r="H127" s="562"/>
      <c r="I127" s="644">
        <v>8</v>
      </c>
      <c r="J127" s="645">
        <f>B38</f>
        <v>0.84</v>
      </c>
      <c r="K127" s="646">
        <f>IF(F38=0,100,F38)</f>
        <v>38.455548312437955</v>
      </c>
      <c r="L127" s="562"/>
      <c r="M127" s="562"/>
      <c r="N127" s="562"/>
      <c r="O127" s="650" t="s">
        <v>79</v>
      </c>
      <c r="P127" s="651">
        <f>((P122-P123)*(P121-P126))/(P125-P126)+P123</f>
        <v>4.3285394353410431E-2</v>
      </c>
      <c r="Q127" s="651">
        <f>((Q122-Q123)*(Q121-Q126))/(Q125-Q126)+Q123</f>
        <v>0.44792911646680827</v>
      </c>
      <c r="R127" s="651">
        <f>((R122-R123)*(R121-R126))/(R125-R126)+R123</f>
        <v>4.0625800041709468</v>
      </c>
      <c r="S127" s="648"/>
      <c r="T127" s="648"/>
      <c r="U127" s="564"/>
      <c r="V127" s="562"/>
      <c r="W127" s="562"/>
      <c r="X127" s="562"/>
      <c r="Y127" s="562"/>
      <c r="Z127" s="562"/>
      <c r="AA127" s="562"/>
      <c r="AB127" s="562"/>
      <c r="AC127" s="562"/>
      <c r="AI127" s="14"/>
      <c r="AJ127" s="13"/>
    </row>
    <row r="128" spans="1:36">
      <c r="A128" s="652" t="s">
        <v>21</v>
      </c>
      <c r="B128" s="624">
        <v>12.5</v>
      </c>
      <c r="C128" s="625">
        <v>100</v>
      </c>
      <c r="D128" s="617"/>
      <c r="E128" s="618"/>
      <c r="F128" s="562"/>
      <c r="G128" s="562"/>
      <c r="H128" s="562"/>
      <c r="I128" s="644">
        <v>9</v>
      </c>
      <c r="J128" s="645">
        <f>B37</f>
        <v>1.19</v>
      </c>
      <c r="K128" s="646">
        <f>IF(F37=0,100,F37)</f>
        <v>43.726900517330485</v>
      </c>
      <c r="L128" s="562"/>
      <c r="M128" s="562"/>
      <c r="N128" s="562"/>
      <c r="O128" s="648"/>
      <c r="P128" s="648"/>
      <c r="Q128" s="648"/>
      <c r="R128" s="648"/>
      <c r="S128" s="648"/>
      <c r="T128" s="653"/>
      <c r="U128" s="648"/>
      <c r="V128" s="562"/>
      <c r="W128" s="562"/>
      <c r="X128" s="562"/>
      <c r="Y128" s="562"/>
      <c r="Z128" s="562"/>
      <c r="AA128" s="562"/>
      <c r="AB128" s="562"/>
      <c r="AC128" s="562"/>
      <c r="AI128" s="14"/>
      <c r="AJ128" s="13"/>
    </row>
    <row r="129" spans="1:51" ht="15" customHeight="1">
      <c r="A129" s="631"/>
      <c r="B129" s="632">
        <f>B128</f>
        <v>12.5</v>
      </c>
      <c r="C129" s="633">
        <v>0</v>
      </c>
      <c r="D129" s="562"/>
      <c r="E129" s="562"/>
      <c r="F129" s="562"/>
      <c r="G129" s="562"/>
      <c r="H129" s="562"/>
      <c r="I129" s="644">
        <v>10</v>
      </c>
      <c r="J129" s="645">
        <f>B36</f>
        <v>2</v>
      </c>
      <c r="K129" s="646">
        <f>IF(F36=0,100,F36)</f>
        <v>52.573077780713355</v>
      </c>
      <c r="L129" s="562"/>
      <c r="M129" s="562"/>
      <c r="N129" s="562"/>
      <c r="O129" s="654" t="s">
        <v>80</v>
      </c>
      <c r="P129" s="655">
        <f>R127/P127</f>
        <v>93.855677298475584</v>
      </c>
      <c r="Q129" s="648"/>
      <c r="R129" s="656"/>
      <c r="S129" s="648"/>
      <c r="T129" s="649"/>
      <c r="U129" s="649"/>
      <c r="V129" s="562"/>
      <c r="W129" s="562"/>
      <c r="X129" s="562"/>
      <c r="Y129" s="562"/>
      <c r="Z129" s="562"/>
      <c r="AA129" s="562"/>
      <c r="AB129" s="562"/>
      <c r="AC129" s="562"/>
      <c r="AI129" s="14"/>
      <c r="AJ129" s="13"/>
    </row>
    <row r="130" spans="1:51">
      <c r="A130" s="623" t="s">
        <v>23</v>
      </c>
      <c r="B130" s="624">
        <v>9.5</v>
      </c>
      <c r="C130" s="625">
        <v>100</v>
      </c>
      <c r="D130" s="617"/>
      <c r="E130" s="618"/>
      <c r="F130" s="562"/>
      <c r="G130" s="562"/>
      <c r="H130" s="562"/>
      <c r="I130" s="644">
        <v>11</v>
      </c>
      <c r="J130" s="645">
        <f>B35</f>
        <v>2.36</v>
      </c>
      <c r="K130" s="646">
        <f>IF(F35=0,100,F35)</f>
        <v>55.490065782435494</v>
      </c>
      <c r="L130" s="562"/>
      <c r="M130" s="562"/>
      <c r="N130" s="562"/>
      <c r="O130" s="654" t="s">
        <v>81</v>
      </c>
      <c r="P130" s="655">
        <f>Q127^2/(P127*R127)</f>
        <v>1.140972775538402</v>
      </c>
      <c r="Q130" s="648"/>
      <c r="R130" s="656"/>
      <c r="S130" s="564"/>
      <c r="T130" s="649"/>
      <c r="U130" s="649"/>
      <c r="V130" s="562"/>
      <c r="W130" s="562"/>
      <c r="X130" s="562"/>
      <c r="Y130" s="562"/>
      <c r="Z130" s="562"/>
      <c r="AA130" s="562"/>
      <c r="AB130" s="562"/>
      <c r="AC130" s="562"/>
      <c r="AI130" s="14"/>
      <c r="AJ130" s="13"/>
    </row>
    <row r="131" spans="1:51">
      <c r="A131" s="631"/>
      <c r="B131" s="632">
        <f>B130</f>
        <v>9.5</v>
      </c>
      <c r="C131" s="633">
        <v>0</v>
      </c>
      <c r="D131" s="562"/>
      <c r="E131" s="562"/>
      <c r="F131" s="562"/>
      <c r="G131" s="562"/>
      <c r="H131" s="562"/>
      <c r="I131" s="644">
        <v>12</v>
      </c>
      <c r="J131" s="645">
        <f>B34</f>
        <v>4.75</v>
      </c>
      <c r="K131" s="646">
        <f>IF(F34=0,100,F34)</f>
        <v>62.47525663522412</v>
      </c>
      <c r="L131" s="562"/>
      <c r="M131" s="562"/>
      <c r="N131" s="562"/>
      <c r="O131" s="654" t="s">
        <v>82</v>
      </c>
      <c r="P131" s="670">
        <f>IF(AND(L34=0,L35=0),"",IF(Q131&lt;0,0,Q131))</f>
        <v>3.7583698756525619E-2</v>
      </c>
      <c r="Q131" s="657">
        <f>(((IF(F46&lt;35,0,(F46-35)))*(IF(L34&lt;40,0,(0.02+0.005*(L34-40)))))+0.01*((IF(F46&lt;15,0,(F46-15)))*(IF(L36&lt;10,0,(L36-10)))))</f>
        <v>3.7583698756525619E-2</v>
      </c>
      <c r="R131" s="648"/>
      <c r="S131" s="564"/>
      <c r="T131" s="649"/>
      <c r="U131" s="649"/>
      <c r="V131" s="562"/>
      <c r="W131" s="562"/>
      <c r="X131" s="562"/>
      <c r="Y131" s="562"/>
      <c r="Z131" s="562"/>
      <c r="AA131" s="562"/>
      <c r="AB131" s="562"/>
      <c r="AC131" s="562"/>
    </row>
    <row r="132" spans="1:51">
      <c r="A132" s="623" t="s">
        <v>25</v>
      </c>
      <c r="B132" s="624">
        <v>6.35</v>
      </c>
      <c r="C132" s="625">
        <v>100</v>
      </c>
      <c r="D132" s="617"/>
      <c r="E132" s="618"/>
      <c r="F132" s="562"/>
      <c r="G132" s="562"/>
      <c r="H132" s="562"/>
      <c r="I132" s="644">
        <v>13</v>
      </c>
      <c r="J132" s="645">
        <f>B32</f>
        <v>9.5</v>
      </c>
      <c r="K132" s="646">
        <f>IF(F32=0,100,F32)</f>
        <v>70.05591045556028</v>
      </c>
      <c r="L132" s="562"/>
      <c r="M132" s="562"/>
      <c r="N132" s="562"/>
      <c r="O132" s="648"/>
      <c r="P132" s="648"/>
      <c r="Q132" s="656"/>
      <c r="R132" s="648"/>
      <c r="S132" s="564"/>
      <c r="T132" s="649"/>
      <c r="U132" s="649"/>
      <c r="V132" s="562"/>
      <c r="W132" s="562"/>
      <c r="X132" s="562"/>
      <c r="Y132" s="562"/>
      <c r="Z132" s="562"/>
      <c r="AA132" s="562"/>
      <c r="AB132" s="562"/>
      <c r="AC132" s="562"/>
    </row>
    <row r="133" spans="1:51">
      <c r="A133" s="631"/>
      <c r="B133" s="632">
        <f>B132</f>
        <v>6.35</v>
      </c>
      <c r="C133" s="633">
        <v>0</v>
      </c>
      <c r="D133" s="562"/>
      <c r="E133" s="562"/>
      <c r="F133" s="562"/>
      <c r="G133" s="562"/>
      <c r="H133" s="562"/>
      <c r="I133" s="644">
        <v>14</v>
      </c>
      <c r="J133" s="645">
        <f>B31</f>
        <v>12.5</v>
      </c>
      <c r="K133" s="646">
        <f>IF(F31=0,100,F31)</f>
        <v>72.830639294836232</v>
      </c>
      <c r="L133" s="562"/>
      <c r="M133" s="562"/>
      <c r="N133" s="562"/>
      <c r="O133" s="658" t="s">
        <v>83</v>
      </c>
      <c r="P133" s="648"/>
      <c r="Q133" s="648"/>
      <c r="R133" s="648"/>
      <c r="S133" s="648"/>
      <c r="T133" s="649"/>
      <c r="U133" s="649"/>
      <c r="V133" s="562"/>
      <c r="W133" s="562"/>
      <c r="X133" s="562"/>
      <c r="Y133" s="562"/>
      <c r="Z133" s="562"/>
      <c r="AA133" s="562"/>
      <c r="AB133" s="562"/>
      <c r="AC133" s="562"/>
    </row>
    <row r="134" spans="1:51">
      <c r="A134" s="623" t="s">
        <v>69</v>
      </c>
      <c r="B134" s="624">
        <v>4.75</v>
      </c>
      <c r="C134" s="625">
        <v>100</v>
      </c>
      <c r="D134" s="617"/>
      <c r="E134" s="618"/>
      <c r="F134" s="562"/>
      <c r="G134" s="562"/>
      <c r="H134" s="562"/>
      <c r="I134" s="644">
        <v>15</v>
      </c>
      <c r="J134" s="645">
        <f>B30</f>
        <v>19.05</v>
      </c>
      <c r="K134" s="646">
        <f>IF(F30=0,100,F30)</f>
        <v>78.32602186811603</v>
      </c>
      <c r="L134" s="562"/>
      <c r="M134" s="562"/>
      <c r="N134" s="562"/>
      <c r="O134" s="562"/>
      <c r="P134" s="562"/>
      <c r="Q134" s="562"/>
      <c r="R134" s="562"/>
      <c r="S134" s="562"/>
      <c r="T134" s="562"/>
      <c r="U134" s="562"/>
      <c r="V134" s="562"/>
      <c r="W134" s="562"/>
      <c r="X134" s="562"/>
      <c r="Y134" s="562"/>
      <c r="Z134" s="562"/>
      <c r="AA134" s="562"/>
      <c r="AB134" s="562"/>
      <c r="AC134" s="562"/>
    </row>
    <row r="135" spans="1:51">
      <c r="A135" s="631"/>
      <c r="B135" s="632">
        <f>B134</f>
        <v>4.75</v>
      </c>
      <c r="C135" s="633">
        <v>0</v>
      </c>
      <c r="D135" s="562"/>
      <c r="E135" s="562"/>
      <c r="F135" s="562"/>
      <c r="G135" s="562"/>
      <c r="H135" s="562"/>
      <c r="I135" s="644">
        <v>16</v>
      </c>
      <c r="J135" s="645">
        <f>B29</f>
        <v>25.4</v>
      </c>
      <c r="K135" s="646">
        <f>IF(F29=0,100,F29)</f>
        <v>81.448014274061421</v>
      </c>
      <c r="L135" s="562"/>
      <c r="M135" s="562"/>
      <c r="N135" s="562"/>
      <c r="O135" s="562"/>
      <c r="P135" s="562"/>
      <c r="Q135" s="562"/>
      <c r="R135" s="562"/>
      <c r="S135" s="562"/>
      <c r="T135" s="562"/>
      <c r="U135" s="562"/>
      <c r="V135" s="562"/>
      <c r="W135" s="562"/>
      <c r="X135" s="562"/>
      <c r="Y135" s="562"/>
      <c r="Z135" s="562"/>
      <c r="AA135" s="562"/>
      <c r="AB135" s="562"/>
      <c r="AC135" s="562"/>
    </row>
    <row r="136" spans="1:51">
      <c r="A136" s="623" t="s">
        <v>96</v>
      </c>
      <c r="B136" s="624">
        <v>2.36</v>
      </c>
      <c r="C136" s="625">
        <v>100</v>
      </c>
      <c r="D136" s="617"/>
      <c r="E136" s="618"/>
      <c r="F136" s="562"/>
      <c r="G136" s="562"/>
      <c r="H136" s="562"/>
      <c r="I136" s="644">
        <v>17</v>
      </c>
      <c r="J136" s="645">
        <f>B28</f>
        <v>38.1</v>
      </c>
      <c r="K136" s="646">
        <f>IF(F28=0,100,F28)</f>
        <v>86.400955947580215</v>
      </c>
      <c r="L136" s="562"/>
      <c r="M136" s="562"/>
      <c r="N136" s="562"/>
      <c r="O136" s="562"/>
      <c r="P136" s="562"/>
      <c r="Q136" s="562"/>
      <c r="R136" s="562"/>
      <c r="S136" s="562"/>
      <c r="T136" s="562"/>
      <c r="U136" s="562"/>
      <c r="V136" s="562"/>
      <c r="W136" s="562"/>
      <c r="X136" s="562"/>
      <c r="Y136" s="562"/>
      <c r="Z136" s="562"/>
      <c r="AA136" s="562"/>
      <c r="AB136" s="562"/>
      <c r="AC136" s="562"/>
    </row>
    <row r="137" spans="1:51">
      <c r="A137" s="631"/>
      <c r="B137" s="632">
        <f>B136</f>
        <v>2.36</v>
      </c>
      <c r="C137" s="633">
        <v>0</v>
      </c>
      <c r="D137" s="562"/>
      <c r="E137" s="562"/>
      <c r="F137" s="562"/>
      <c r="G137" s="562"/>
      <c r="H137" s="562"/>
      <c r="I137" s="644">
        <v>18</v>
      </c>
      <c r="J137" s="645">
        <f>B27</f>
        <v>50.8</v>
      </c>
      <c r="K137" s="646">
        <f>IF(F27=0,100,F27)</f>
        <v>90.279999827335359</v>
      </c>
      <c r="L137" s="562"/>
      <c r="M137" s="562"/>
      <c r="N137" s="562"/>
      <c r="O137" s="562"/>
      <c r="P137" s="562"/>
      <c r="Q137" s="562"/>
      <c r="R137" s="562"/>
      <c r="S137" s="562"/>
      <c r="T137" s="562"/>
      <c r="U137" s="562"/>
      <c r="V137" s="562"/>
      <c r="W137" s="562"/>
      <c r="X137" s="562"/>
      <c r="Y137" s="562"/>
      <c r="Z137" s="562"/>
      <c r="AA137" s="562"/>
      <c r="AB137" s="562"/>
      <c r="AC137" s="562"/>
    </row>
    <row r="138" spans="1:51">
      <c r="A138" s="623" t="s">
        <v>0</v>
      </c>
      <c r="B138" s="624">
        <v>2</v>
      </c>
      <c r="C138" s="625">
        <v>100</v>
      </c>
      <c r="D138" s="617"/>
      <c r="E138" s="618"/>
      <c r="F138" s="562"/>
      <c r="G138" s="562"/>
      <c r="H138" s="562"/>
      <c r="I138" s="644">
        <v>19</v>
      </c>
      <c r="J138" s="645">
        <f>B26</f>
        <v>63.5</v>
      </c>
      <c r="K138" s="646">
        <f>IF(F26=0,100,F26)</f>
        <v>93.104579154284067</v>
      </c>
      <c r="L138" s="562"/>
      <c r="M138" s="562"/>
      <c r="N138" s="562"/>
      <c r="O138" s="562"/>
      <c r="P138" s="562"/>
      <c r="Q138" s="562"/>
      <c r="R138" s="562"/>
      <c r="S138" s="562"/>
      <c r="T138" s="562"/>
      <c r="U138" s="562"/>
      <c r="V138" s="562"/>
      <c r="W138" s="562"/>
      <c r="X138" s="562"/>
      <c r="Y138" s="562"/>
      <c r="Z138" s="562"/>
      <c r="AA138" s="562"/>
      <c r="AB138" s="562"/>
      <c r="AC138" s="562"/>
    </row>
    <row r="139" spans="1:51" ht="15" thickBot="1">
      <c r="A139" s="631"/>
      <c r="B139" s="632">
        <f>B138</f>
        <v>2</v>
      </c>
      <c r="C139" s="633">
        <v>0</v>
      </c>
      <c r="D139" s="562"/>
      <c r="E139" s="562"/>
      <c r="F139" s="562"/>
      <c r="G139" s="562"/>
      <c r="H139" s="562"/>
      <c r="I139" s="659">
        <v>20</v>
      </c>
      <c r="J139" s="660">
        <f>B27</f>
        <v>50.8</v>
      </c>
      <c r="K139" s="661">
        <f>IF(F27=0,100,F27)</f>
        <v>90.279999827335359</v>
      </c>
      <c r="L139" s="562"/>
      <c r="M139" s="562"/>
      <c r="N139" s="562"/>
      <c r="O139" s="562"/>
      <c r="P139" s="562"/>
      <c r="Q139" s="562"/>
      <c r="R139" s="562"/>
      <c r="S139" s="562"/>
      <c r="T139" s="562"/>
      <c r="U139" s="562"/>
      <c r="V139" s="562"/>
      <c r="W139" s="562"/>
      <c r="X139" s="562"/>
      <c r="Y139" s="562"/>
      <c r="Z139" s="562"/>
      <c r="AA139" s="562"/>
      <c r="AB139" s="562"/>
      <c r="AC139" s="562"/>
      <c r="AY139" s="15"/>
    </row>
    <row r="140" spans="1:51">
      <c r="A140" s="623" t="s">
        <v>97</v>
      </c>
      <c r="B140" s="624">
        <v>1.19</v>
      </c>
      <c r="C140" s="625">
        <v>100</v>
      </c>
      <c r="D140" s="617"/>
      <c r="E140" s="618"/>
      <c r="F140" s="562"/>
      <c r="G140" s="562"/>
      <c r="H140" s="562"/>
      <c r="I140" s="662"/>
      <c r="J140" s="614" t="s">
        <v>351</v>
      </c>
      <c r="K140" s="614" t="s">
        <v>471</v>
      </c>
      <c r="L140" s="614" t="s">
        <v>351</v>
      </c>
      <c r="M140" s="1495" t="s">
        <v>471</v>
      </c>
      <c r="N140" s="1495"/>
      <c r="O140" s="615" t="s">
        <v>351</v>
      </c>
      <c r="P140" s="562"/>
      <c r="Q140" s="562"/>
      <c r="R140" s="562"/>
      <c r="S140" s="562"/>
      <c r="T140" s="562"/>
      <c r="U140" s="562"/>
      <c r="V140" s="562"/>
      <c r="W140" s="562"/>
      <c r="X140" s="562"/>
      <c r="Y140" s="562"/>
      <c r="Z140" s="562"/>
      <c r="AA140" s="562"/>
      <c r="AB140" s="562"/>
      <c r="AC140" s="562"/>
      <c r="AY140" s="15"/>
    </row>
    <row r="141" spans="1:51">
      <c r="A141" s="631"/>
      <c r="B141" s="632">
        <f>B140</f>
        <v>1.19</v>
      </c>
      <c r="C141" s="633">
        <v>0</v>
      </c>
      <c r="D141" s="562"/>
      <c r="E141" s="562"/>
      <c r="F141" s="562"/>
      <c r="G141" s="562"/>
      <c r="H141" s="562"/>
      <c r="I141" s="663">
        <v>60</v>
      </c>
      <c r="J141" s="664">
        <f>IF(LOOKUP(60,K$120:K$139,J$120:J$139)&lt;=0,0.075,LOOKUP(60,K$120:K$139,J$120:J$139))</f>
        <v>2.36</v>
      </c>
      <c r="K141" s="664">
        <f>LOOKUP(J141,J$120:J$139,K$120:K$139)</f>
        <v>55.490065782435494</v>
      </c>
      <c r="L141" s="664">
        <f>+LOOKUP(LOOKUP(J141,J$120:J$139,I$120:I$139)+1,I$120:I$139,J$120:J$139)</f>
        <v>4.75</v>
      </c>
      <c r="M141" s="1493">
        <f>+LOOKUP(L141,J$120:J$139,K$120:K$139)</f>
        <v>62.47525663522412</v>
      </c>
      <c r="N141" s="1493"/>
      <c r="O141" s="665">
        <f>10^(LOG(J141)+(I141-K141)/(M141-K141)*LOG(L141/J141))</f>
        <v>3.7072018888589429</v>
      </c>
      <c r="P141" s="562"/>
      <c r="Q141" s="562"/>
      <c r="R141" s="562"/>
      <c r="S141" s="562"/>
      <c r="T141" s="562"/>
      <c r="U141" s="562"/>
      <c r="V141" s="562"/>
      <c r="W141" s="562"/>
      <c r="X141" s="562"/>
      <c r="Y141" s="562"/>
      <c r="Z141" s="562"/>
      <c r="AA141" s="562"/>
      <c r="AB141" s="562"/>
      <c r="AC141" s="562"/>
      <c r="AY141" s="15"/>
    </row>
    <row r="142" spans="1:51">
      <c r="A142" s="623" t="s">
        <v>70</v>
      </c>
      <c r="B142" s="624">
        <v>0.84</v>
      </c>
      <c r="C142" s="625">
        <v>100</v>
      </c>
      <c r="D142" s="617"/>
      <c r="E142" s="618"/>
      <c r="F142" s="562"/>
      <c r="G142" s="562"/>
      <c r="H142" s="562"/>
      <c r="I142" s="663">
        <v>30</v>
      </c>
      <c r="J142" s="664">
        <f>IF(LOOKUP(30,K$120:K$139,J$120:J$139)&lt;=0,0.075,LOOKUP(30,K$120:K$139,J$120:J$139))</f>
        <v>0.42499999999999999</v>
      </c>
      <c r="K142" s="664">
        <f>LOOKUP(J142,J$120:J$139,K$120:K$139)</f>
        <v>29.505502040091685</v>
      </c>
      <c r="L142" s="664">
        <f>+LOOKUP(LOOKUP(J142,J$120:J$139,I$120:I$139)+1,I$120:I$139,J$120:J$139)</f>
        <v>0.6</v>
      </c>
      <c r="M142" s="1493">
        <f>+LOOKUP(L142,J$120:J$139,K$120:K$139)</f>
        <v>33.608327894145972</v>
      </c>
      <c r="N142" s="1493"/>
      <c r="O142" s="665">
        <f>10^(LOG(J142)+(I142-K142)/(M142-K142)*LOG(L142/J142))</f>
        <v>0.44303619818224871</v>
      </c>
      <c r="P142" s="562"/>
      <c r="Q142" s="562"/>
      <c r="R142" s="562"/>
      <c r="S142" s="562"/>
      <c r="T142" s="562"/>
      <c r="U142" s="562"/>
      <c r="V142" s="562"/>
      <c r="W142" s="562"/>
      <c r="X142" s="562"/>
      <c r="Y142" s="562"/>
      <c r="Z142" s="562"/>
      <c r="AA142" s="562"/>
      <c r="AB142" s="562"/>
      <c r="AC142" s="562"/>
      <c r="AY142" s="15"/>
    </row>
    <row r="143" spans="1:51">
      <c r="A143" s="631"/>
      <c r="B143" s="632">
        <f>B142</f>
        <v>0.84</v>
      </c>
      <c r="C143" s="633">
        <v>0</v>
      </c>
      <c r="D143" s="562"/>
      <c r="E143" s="562"/>
      <c r="F143" s="562"/>
      <c r="G143" s="562"/>
      <c r="H143" s="562"/>
      <c r="I143" s="663">
        <v>10</v>
      </c>
      <c r="J143" s="664">
        <f>IF(LOOKUP(10,K$120:K$139,J$120:J$139)&lt;=0,0.075,LOOKUP(10,K$120:K$139,J$120:J$139))</f>
        <v>7.4999999999999997E-2</v>
      </c>
      <c r="K143" s="664">
        <f>LOOKUP(J143,J$120:J$139,K$120:K$139)</f>
        <v>17.326860739133082</v>
      </c>
      <c r="L143" s="664">
        <f>+LOOKUP(LOOKUP(J143,J$120:J$139,I$120:I$139)+1,I$120:I$139,J$120:J$139)</f>
        <v>0.15</v>
      </c>
      <c r="M143" s="1493">
        <f>+LOOKUP(L143,J$120:J$139,K$120:K$139)</f>
        <v>21.066145061815462</v>
      </c>
      <c r="N143" s="1493"/>
      <c r="O143" s="665">
        <f>10^(LOG(J143)+(I143-K143)/(M143-K143)*LOG(L143/J143))</f>
        <v>1.9284770411543202E-2</v>
      </c>
      <c r="P143" s="562"/>
      <c r="Q143" s="562"/>
      <c r="R143" s="562"/>
      <c r="S143" s="562"/>
      <c r="T143" s="562"/>
      <c r="U143" s="562"/>
      <c r="V143" s="562"/>
      <c r="W143" s="562"/>
      <c r="X143" s="562"/>
      <c r="Y143" s="562"/>
      <c r="Z143" s="562"/>
      <c r="AA143" s="562"/>
      <c r="AB143" s="562"/>
      <c r="AC143" s="562"/>
      <c r="AY143" s="15"/>
    </row>
    <row r="144" spans="1:51" ht="15" thickBot="1">
      <c r="A144" s="623" t="s">
        <v>36</v>
      </c>
      <c r="B144" s="624">
        <v>0.6</v>
      </c>
      <c r="C144" s="625">
        <v>100</v>
      </c>
      <c r="D144" s="617"/>
      <c r="E144" s="618"/>
      <c r="F144" s="562"/>
      <c r="G144" s="562"/>
      <c r="H144" s="562"/>
      <c r="I144" s="666" t="s">
        <v>472</v>
      </c>
      <c r="J144" s="667">
        <f>O141/O143</f>
        <v>192.23469140394531</v>
      </c>
      <c r="K144" s="668" t="s">
        <v>473</v>
      </c>
      <c r="L144" s="667">
        <f>O142^2/(O143*O141)</f>
        <v>2.7454763857021636</v>
      </c>
      <c r="M144" s="1494"/>
      <c r="N144" s="1494"/>
      <c r="O144" s="669"/>
      <c r="P144" s="562"/>
      <c r="Q144" s="562"/>
      <c r="R144" s="562"/>
      <c r="S144" s="562"/>
      <c r="T144" s="562"/>
      <c r="U144" s="562"/>
      <c r="V144" s="562"/>
      <c r="W144" s="562"/>
      <c r="X144" s="562"/>
      <c r="Y144" s="562"/>
      <c r="Z144" s="562"/>
      <c r="AA144" s="562"/>
      <c r="AB144" s="562"/>
      <c r="AC144" s="562"/>
      <c r="AY144" s="15"/>
    </row>
    <row r="145" spans="1:51">
      <c r="A145" s="631"/>
      <c r="B145" s="632">
        <f>B144</f>
        <v>0.6</v>
      </c>
      <c r="C145" s="633">
        <v>0</v>
      </c>
      <c r="D145" s="562"/>
      <c r="E145" s="562"/>
      <c r="F145" s="562"/>
      <c r="G145" s="562"/>
      <c r="H145" s="562"/>
      <c r="I145" s="562"/>
      <c r="J145" s="562"/>
      <c r="K145" s="562"/>
      <c r="L145" s="562"/>
      <c r="M145" s="562"/>
      <c r="N145" s="562"/>
      <c r="O145" s="562"/>
      <c r="P145" s="562"/>
      <c r="Q145" s="562"/>
      <c r="R145" s="562"/>
      <c r="S145" s="562"/>
      <c r="T145" s="562"/>
      <c r="U145" s="562"/>
      <c r="V145" s="562"/>
      <c r="W145" s="562"/>
      <c r="X145" s="562"/>
      <c r="Y145" s="562"/>
      <c r="Z145" s="562"/>
      <c r="AA145" s="562"/>
      <c r="AB145" s="562"/>
      <c r="AC145" s="562"/>
      <c r="AY145" s="15"/>
    </row>
    <row r="146" spans="1:51">
      <c r="A146" s="623" t="s">
        <v>4</v>
      </c>
      <c r="B146" s="624">
        <v>0.42499999999999999</v>
      </c>
      <c r="C146" s="625">
        <v>100</v>
      </c>
      <c r="D146" s="617"/>
      <c r="E146" s="618"/>
      <c r="F146" s="562"/>
      <c r="G146" s="562"/>
      <c r="H146" s="562"/>
      <c r="I146" s="1482" t="s">
        <v>884</v>
      </c>
      <c r="J146" s="1482"/>
      <c r="K146" s="1155"/>
      <c r="L146" s="1482" t="s">
        <v>885</v>
      </c>
      <c r="M146" s="1482"/>
      <c r="N146" s="562"/>
      <c r="O146" s="562"/>
      <c r="P146" s="562"/>
      <c r="Q146" s="562"/>
      <c r="R146" s="562"/>
      <c r="S146" s="562"/>
      <c r="T146" s="562"/>
      <c r="U146" s="562"/>
      <c r="V146" s="562"/>
      <c r="W146" s="562"/>
      <c r="X146" s="562"/>
      <c r="Y146" s="562"/>
      <c r="Z146" s="562"/>
      <c r="AA146" s="562"/>
      <c r="AB146" s="562"/>
      <c r="AC146" s="562"/>
      <c r="AM146" s="13"/>
      <c r="AN146" s="13"/>
      <c r="AO146" s="13"/>
      <c r="AP146" s="13"/>
      <c r="AQ146" s="13"/>
      <c r="AR146" s="13"/>
      <c r="AS146" s="13"/>
      <c r="AT146" s="13"/>
      <c r="AU146" s="13"/>
      <c r="AV146" s="13"/>
      <c r="AW146" s="13"/>
      <c r="AX146" s="13"/>
      <c r="AY146" s="15"/>
    </row>
    <row r="147" spans="1:51">
      <c r="A147" s="631"/>
      <c r="B147" s="632">
        <f>B146</f>
        <v>0.42499999999999999</v>
      </c>
      <c r="C147" s="633">
        <v>0</v>
      </c>
      <c r="D147" s="562"/>
      <c r="E147" s="562"/>
      <c r="F147" s="562"/>
      <c r="G147" s="562"/>
      <c r="H147" s="562"/>
      <c r="I147" s="1483" t="s">
        <v>886</v>
      </c>
      <c r="J147" s="1484"/>
      <c r="K147" s="1156"/>
      <c r="L147" s="1485" t="s">
        <v>887</v>
      </c>
      <c r="M147" s="1486" t="s">
        <v>888</v>
      </c>
      <c r="N147" s="562"/>
      <c r="O147" s="562"/>
      <c r="P147" s="562"/>
      <c r="Q147" s="562"/>
      <c r="R147" s="562"/>
      <c r="S147" s="562"/>
      <c r="T147" s="562"/>
      <c r="U147" s="562"/>
      <c r="V147" s="562"/>
      <c r="W147" s="562"/>
      <c r="X147" s="562"/>
      <c r="Y147" s="562"/>
      <c r="Z147" s="562"/>
      <c r="AA147" s="562"/>
      <c r="AB147" s="562"/>
      <c r="AC147" s="562"/>
      <c r="AM147" s="13"/>
      <c r="AN147" s="13"/>
      <c r="AO147" s="13"/>
      <c r="AP147" s="13"/>
      <c r="AQ147" s="13"/>
      <c r="AR147" s="13"/>
      <c r="AS147" s="13"/>
      <c r="AT147" s="13"/>
      <c r="AU147" s="13"/>
      <c r="AV147" s="13"/>
      <c r="AW147" s="13"/>
      <c r="AX147" s="13"/>
      <c r="AY147" s="15"/>
    </row>
    <row r="148" spans="1:51" ht="27.6">
      <c r="A148" s="623" t="s">
        <v>72</v>
      </c>
      <c r="B148" s="624">
        <v>0.29699999999999999</v>
      </c>
      <c r="C148" s="625">
        <v>100</v>
      </c>
      <c r="D148" s="617"/>
      <c r="I148" s="1157" t="s">
        <v>889</v>
      </c>
      <c r="J148" s="1158" t="s">
        <v>888</v>
      </c>
      <c r="K148" s="1156"/>
      <c r="L148" s="1485"/>
      <c r="M148" s="1487"/>
      <c r="AT148" s="13"/>
      <c r="AU148" s="13"/>
      <c r="AV148" s="13"/>
      <c r="AW148" s="13"/>
      <c r="AX148" s="13"/>
      <c r="AY148" s="15"/>
    </row>
    <row r="149" spans="1:51">
      <c r="A149" s="631"/>
      <c r="B149" s="632">
        <f>B148</f>
        <v>0.29699999999999999</v>
      </c>
      <c r="C149" s="633">
        <v>0</v>
      </c>
      <c r="D149" s="562"/>
      <c r="I149" s="1159">
        <v>1000</v>
      </c>
      <c r="J149" s="1159">
        <v>15</v>
      </c>
      <c r="K149" s="1160"/>
      <c r="L149" s="1159">
        <v>150</v>
      </c>
      <c r="M149" s="1159">
        <v>0</v>
      </c>
      <c r="AT149" s="13"/>
      <c r="AU149" s="13"/>
      <c r="AV149" s="13"/>
      <c r="AW149" s="14"/>
      <c r="AX149" s="14"/>
      <c r="AY149" s="16"/>
    </row>
    <row r="150" spans="1:51">
      <c r="A150" s="623" t="s">
        <v>354</v>
      </c>
      <c r="B150" s="624">
        <v>0.25</v>
      </c>
      <c r="C150" s="625">
        <v>100</v>
      </c>
      <c r="D150" s="617"/>
      <c r="I150" s="1159">
        <v>100</v>
      </c>
      <c r="J150" s="1159">
        <v>15</v>
      </c>
      <c r="K150" s="1160"/>
      <c r="L150" s="1159">
        <v>150</v>
      </c>
      <c r="M150" s="1159">
        <v>100</v>
      </c>
      <c r="AT150" s="13"/>
      <c r="AU150" s="13"/>
      <c r="AV150" s="13"/>
      <c r="AW150" s="14"/>
      <c r="AX150" s="14"/>
      <c r="AY150" s="16"/>
    </row>
    <row r="151" spans="1:51">
      <c r="A151" s="631"/>
      <c r="B151" s="632">
        <f>B150</f>
        <v>0.25</v>
      </c>
      <c r="C151" s="633">
        <v>0</v>
      </c>
      <c r="D151" s="562"/>
      <c r="E151" s="562"/>
      <c r="F151" s="562"/>
      <c r="G151" s="562"/>
      <c r="H151" s="562"/>
      <c r="I151" s="1159">
        <v>10</v>
      </c>
      <c r="J151" s="1159">
        <v>15</v>
      </c>
      <c r="K151" s="1160"/>
      <c r="L151" s="1160"/>
      <c r="M151" s="1160"/>
      <c r="N151" s="562"/>
      <c r="O151" s="562"/>
      <c r="P151" s="562"/>
      <c r="Q151" s="562"/>
      <c r="R151" s="562"/>
      <c r="S151" s="562"/>
      <c r="T151" s="562"/>
      <c r="U151" s="562"/>
      <c r="V151" s="562"/>
      <c r="W151" s="562"/>
      <c r="X151" s="562"/>
      <c r="Y151" s="562"/>
      <c r="Z151" s="562"/>
      <c r="AA151" s="562"/>
      <c r="AB151" s="562"/>
      <c r="AC151" s="562"/>
    </row>
    <row r="152" spans="1:51">
      <c r="A152" s="623" t="s">
        <v>41</v>
      </c>
      <c r="B152" s="624">
        <v>0.17699999999999999</v>
      </c>
      <c r="C152" s="625">
        <v>100</v>
      </c>
      <c r="D152" s="562"/>
      <c r="E152" s="562"/>
      <c r="F152" s="562"/>
      <c r="G152" s="562"/>
      <c r="H152" s="562"/>
      <c r="I152" s="1159">
        <v>1</v>
      </c>
      <c r="J152" s="1159">
        <v>15</v>
      </c>
      <c r="K152" s="1160"/>
      <c r="L152" s="1160"/>
      <c r="M152" s="1160"/>
      <c r="N152" s="562"/>
      <c r="O152" s="562"/>
      <c r="P152" s="562"/>
      <c r="Q152" s="562"/>
      <c r="R152" s="562"/>
      <c r="S152" s="562"/>
      <c r="T152" s="562"/>
      <c r="U152" s="562"/>
      <c r="V152" s="562"/>
      <c r="W152" s="562"/>
      <c r="X152" s="562"/>
      <c r="Y152" s="562"/>
      <c r="Z152" s="562"/>
      <c r="AA152" s="562"/>
      <c r="AB152" s="562"/>
      <c r="AC152" s="562"/>
    </row>
    <row r="153" spans="1:51">
      <c r="A153" s="631"/>
      <c r="B153" s="632">
        <f>B152</f>
        <v>0.17699999999999999</v>
      </c>
      <c r="C153" s="633">
        <v>0</v>
      </c>
      <c r="D153" s="562"/>
      <c r="E153" s="562"/>
      <c r="F153" s="562"/>
      <c r="G153" s="562"/>
      <c r="H153" s="562"/>
      <c r="I153" s="1159">
        <v>0.1</v>
      </c>
      <c r="J153" s="1159">
        <v>15</v>
      </c>
      <c r="K153" s="1160"/>
      <c r="L153" s="1160"/>
      <c r="M153" s="1160"/>
      <c r="N153" s="562"/>
      <c r="O153" s="562"/>
      <c r="P153" s="562"/>
      <c r="Q153" s="562"/>
      <c r="R153" s="562"/>
      <c r="S153" s="562"/>
      <c r="T153" s="562"/>
      <c r="U153" s="562"/>
      <c r="V153" s="562"/>
      <c r="W153" s="562"/>
      <c r="X153" s="562"/>
      <c r="Y153" s="562"/>
      <c r="Z153" s="562"/>
      <c r="AA153" s="562"/>
      <c r="AB153" s="562"/>
      <c r="AC153" s="562"/>
    </row>
    <row r="154" spans="1:51">
      <c r="A154" s="623" t="s">
        <v>100</v>
      </c>
      <c r="B154" s="624">
        <v>0.15</v>
      </c>
      <c r="C154" s="625">
        <v>100</v>
      </c>
      <c r="D154" s="562"/>
      <c r="E154" s="562"/>
      <c r="F154" s="562"/>
      <c r="G154" s="562"/>
      <c r="H154" s="562"/>
      <c r="I154" s="1159">
        <v>0.01</v>
      </c>
      <c r="J154" s="1159">
        <v>15</v>
      </c>
      <c r="K154" s="1161"/>
      <c r="L154" s="1161"/>
      <c r="M154" s="1161"/>
      <c r="N154" s="562"/>
      <c r="O154" s="562"/>
      <c r="P154" s="562"/>
      <c r="Q154" s="562"/>
      <c r="R154" s="562"/>
      <c r="S154" s="562"/>
      <c r="T154" s="562"/>
      <c r="U154" s="562"/>
      <c r="V154" s="562"/>
      <c r="W154" s="562"/>
      <c r="X154" s="562"/>
      <c r="Y154" s="562"/>
      <c r="Z154" s="562"/>
      <c r="AA154" s="562"/>
      <c r="AB154" s="562"/>
      <c r="AC154" s="562"/>
    </row>
    <row r="155" spans="1:51">
      <c r="A155" s="631"/>
      <c r="B155" s="632">
        <f>B154</f>
        <v>0.15</v>
      </c>
      <c r="C155" s="633">
        <v>0</v>
      </c>
      <c r="D155" s="562"/>
      <c r="E155" s="562"/>
      <c r="F155" s="562"/>
      <c r="G155" s="562"/>
      <c r="H155" s="562"/>
      <c r="I155" s="562"/>
      <c r="J155" s="562"/>
      <c r="K155" s="562"/>
      <c r="L155" s="562"/>
      <c r="M155" s="562"/>
      <c r="N155" s="562"/>
      <c r="O155" s="562"/>
      <c r="P155" s="562"/>
      <c r="Q155" s="562"/>
      <c r="R155" s="562"/>
      <c r="S155" s="562"/>
      <c r="T155" s="562"/>
      <c r="U155" s="562"/>
      <c r="V155" s="562"/>
      <c r="W155" s="562"/>
      <c r="X155" s="562"/>
      <c r="Y155" s="562"/>
      <c r="Z155" s="562"/>
      <c r="AA155" s="562"/>
      <c r="AB155" s="562"/>
      <c r="AC155" s="562"/>
    </row>
    <row r="156" spans="1:51">
      <c r="A156" s="623" t="s">
        <v>337</v>
      </c>
      <c r="B156" s="624">
        <v>0.106</v>
      </c>
      <c r="C156" s="625">
        <v>100</v>
      </c>
      <c r="D156" s="562"/>
      <c r="E156" s="562"/>
      <c r="F156" s="562"/>
      <c r="G156" s="562"/>
      <c r="H156" s="562"/>
      <c r="I156" s="562"/>
      <c r="J156" s="562"/>
      <c r="K156" s="562"/>
      <c r="L156" s="562"/>
      <c r="M156" s="562"/>
      <c r="N156" s="562"/>
      <c r="O156" s="562"/>
      <c r="P156" s="562"/>
      <c r="Q156" s="562"/>
      <c r="R156" s="562"/>
      <c r="S156" s="562"/>
      <c r="T156" s="562"/>
      <c r="U156" s="562"/>
      <c r="V156" s="562"/>
      <c r="W156" s="562"/>
      <c r="X156" s="562"/>
      <c r="Y156" s="562"/>
      <c r="Z156" s="562"/>
      <c r="AA156" s="562"/>
      <c r="AB156" s="562"/>
      <c r="AC156" s="562"/>
    </row>
    <row r="157" spans="1:51">
      <c r="A157" s="631"/>
      <c r="B157" s="632">
        <f>B156</f>
        <v>0.106</v>
      </c>
      <c r="C157" s="633">
        <v>0</v>
      </c>
      <c r="D157" s="562"/>
      <c r="E157" s="562"/>
      <c r="F157" s="562"/>
      <c r="G157" s="562"/>
      <c r="H157" s="562"/>
      <c r="I157" s="562"/>
      <c r="J157" s="562"/>
      <c r="K157" s="562"/>
      <c r="L157" s="562"/>
      <c r="M157" s="562"/>
      <c r="N157" s="562"/>
      <c r="O157" s="562"/>
      <c r="P157" s="562"/>
      <c r="Q157" s="562"/>
      <c r="R157" s="562"/>
      <c r="S157" s="562"/>
      <c r="T157" s="562"/>
      <c r="U157" s="562"/>
      <c r="V157" s="562"/>
      <c r="W157" s="562"/>
      <c r="X157" s="562"/>
      <c r="Y157" s="562"/>
      <c r="Z157" s="562"/>
      <c r="AA157" s="562"/>
      <c r="AB157" s="562"/>
      <c r="AC157" s="562"/>
    </row>
    <row r="158" spans="1:51">
      <c r="A158" s="623" t="s">
        <v>101</v>
      </c>
      <c r="B158" s="624">
        <v>7.4999999999999997E-2</v>
      </c>
      <c r="C158" s="625">
        <v>100</v>
      </c>
      <c r="D158" s="562"/>
      <c r="E158" s="562"/>
      <c r="F158" s="562"/>
      <c r="G158" s="562"/>
      <c r="H158" s="562"/>
      <c r="I158" s="562"/>
      <c r="J158" s="562"/>
      <c r="K158" s="562"/>
      <c r="L158" s="562"/>
      <c r="M158" s="562"/>
      <c r="N158" s="562"/>
      <c r="O158" s="562"/>
      <c r="P158" s="562"/>
      <c r="Q158" s="562"/>
      <c r="R158" s="562"/>
      <c r="S158" s="562"/>
      <c r="T158" s="562"/>
      <c r="U158" s="562"/>
      <c r="V158" s="562"/>
      <c r="W158" s="562"/>
      <c r="X158" s="562"/>
      <c r="Y158" s="562"/>
      <c r="Z158" s="562"/>
      <c r="AA158" s="562"/>
      <c r="AB158" s="562"/>
      <c r="AC158" s="562"/>
    </row>
    <row r="159" spans="1:51">
      <c r="A159" s="631"/>
      <c r="B159" s="632">
        <f>B158</f>
        <v>7.4999999999999997E-2</v>
      </c>
      <c r="C159" s="633">
        <v>0</v>
      </c>
      <c r="D159" s="562"/>
      <c r="E159" s="562"/>
      <c r="F159" s="562"/>
      <c r="G159" s="562"/>
      <c r="H159" s="562"/>
      <c r="I159" s="562"/>
      <c r="J159" s="562"/>
      <c r="K159" s="562"/>
      <c r="L159" s="562"/>
      <c r="M159" s="562"/>
      <c r="N159" s="562"/>
      <c r="O159" s="562"/>
      <c r="P159" s="562"/>
      <c r="Q159" s="562"/>
      <c r="R159" s="562"/>
      <c r="S159" s="562"/>
      <c r="T159" s="562"/>
      <c r="U159" s="562"/>
      <c r="V159" s="562"/>
      <c r="W159" s="562"/>
      <c r="X159" s="562"/>
      <c r="Y159" s="562"/>
      <c r="Z159" s="562"/>
      <c r="AA159" s="562"/>
      <c r="AB159" s="562"/>
      <c r="AC159" s="562"/>
    </row>
    <row r="169" spans="1:2" ht="15" thickBot="1"/>
    <row r="170" spans="1:2" ht="27" thickBot="1">
      <c r="A170" s="1149" t="s">
        <v>579</v>
      </c>
      <c r="B170" s="1149" t="s">
        <v>744</v>
      </c>
    </row>
    <row r="171" spans="1:2" ht="23.4" thickBot="1">
      <c r="A171" s="1150" t="s">
        <v>745</v>
      </c>
      <c r="B171" s="1151">
        <v>126.6</v>
      </c>
    </row>
    <row r="172" spans="1:2" ht="23.4" thickBot="1">
      <c r="A172" s="1150" t="s">
        <v>746</v>
      </c>
      <c r="B172" s="1151">
        <v>133.69999999999999</v>
      </c>
    </row>
    <row r="173" spans="1:2" ht="23.4" thickBot="1">
      <c r="A173" s="1150" t="s">
        <v>747</v>
      </c>
      <c r="B173" s="1151">
        <v>127.2</v>
      </c>
    </row>
    <row r="174" spans="1:2" ht="23.4" thickBot="1">
      <c r="A174" s="1150" t="s">
        <v>748</v>
      </c>
      <c r="B174" s="1151">
        <v>130</v>
      </c>
    </row>
    <row r="175" spans="1:2" ht="23.4" thickBot="1">
      <c r="A175" s="1150" t="s">
        <v>749</v>
      </c>
      <c r="B175" s="1151">
        <v>136.19999999999999</v>
      </c>
    </row>
    <row r="176" spans="1:2" ht="23.4" thickBot="1">
      <c r="A176" s="1150" t="s">
        <v>750</v>
      </c>
      <c r="B176" s="1151">
        <v>175.7</v>
      </c>
    </row>
    <row r="177" spans="1:29" ht="23.4" thickBot="1">
      <c r="A177" s="1150" t="s">
        <v>751</v>
      </c>
      <c r="B177" s="1151">
        <v>181.9</v>
      </c>
    </row>
    <row r="178" spans="1:29" ht="23.4" thickBot="1">
      <c r="A178" s="1150" t="s">
        <v>752</v>
      </c>
      <c r="B178" s="1151">
        <v>184.6</v>
      </c>
    </row>
    <row r="179" spans="1:29" ht="23.4" thickBot="1">
      <c r="A179" s="1150" t="s">
        <v>753</v>
      </c>
      <c r="B179" s="1151">
        <v>186.6</v>
      </c>
    </row>
    <row r="180" spans="1:29" ht="23.4" thickBot="1">
      <c r="A180" s="1150" t="s">
        <v>754</v>
      </c>
      <c r="B180" s="1151">
        <v>124.6</v>
      </c>
    </row>
    <row r="181" spans="1:29" ht="23.4" thickBot="1">
      <c r="A181" s="1150" t="s">
        <v>755</v>
      </c>
      <c r="B181" s="1151">
        <v>176.7</v>
      </c>
    </row>
    <row r="182" spans="1:29" ht="23.4" thickBot="1">
      <c r="A182" s="1150" t="s">
        <v>756</v>
      </c>
      <c r="B182" s="1151">
        <v>177.6</v>
      </c>
    </row>
    <row r="183" spans="1:29" ht="23.4" thickBot="1">
      <c r="A183" s="1150" t="s">
        <v>757</v>
      </c>
      <c r="B183" s="1151">
        <v>147.9</v>
      </c>
    </row>
    <row r="184" spans="1:29" ht="23.4" thickBot="1">
      <c r="A184" s="1150" t="s">
        <v>758</v>
      </c>
      <c r="B184" s="1151">
        <v>290</v>
      </c>
    </row>
    <row r="185" spans="1:29" ht="23.4" thickBot="1">
      <c r="A185" s="1150" t="s">
        <v>759</v>
      </c>
      <c r="B185" s="1151">
        <v>294.5</v>
      </c>
      <c r="C185" s="562"/>
      <c r="D185" s="562"/>
      <c r="E185" s="562"/>
      <c r="F185" s="562"/>
      <c r="G185" s="562"/>
      <c r="H185" s="562"/>
      <c r="I185" s="562"/>
      <c r="J185" s="562"/>
      <c r="K185" s="562"/>
      <c r="L185" s="562"/>
      <c r="M185" s="562"/>
      <c r="N185" s="562"/>
      <c r="O185" s="562"/>
      <c r="P185" s="562"/>
      <c r="Q185" s="562"/>
      <c r="R185" s="562"/>
      <c r="S185" s="562"/>
      <c r="T185" s="562"/>
      <c r="U185" s="562"/>
      <c r="V185" s="562"/>
      <c r="W185" s="562"/>
      <c r="X185" s="562"/>
      <c r="Y185" s="562"/>
      <c r="Z185" s="562"/>
      <c r="AA185" s="562"/>
      <c r="AB185" s="562"/>
      <c r="AC185" s="562"/>
    </row>
    <row r="186" spans="1:29" ht="23.4" thickBot="1">
      <c r="A186" s="1150" t="s">
        <v>760</v>
      </c>
      <c r="B186" s="1151">
        <v>279.2</v>
      </c>
    </row>
    <row r="187" spans="1:29" ht="23.4" thickBot="1">
      <c r="A187" s="1150" t="s">
        <v>761</v>
      </c>
      <c r="B187" s="1151">
        <v>287.39999999999998</v>
      </c>
    </row>
    <row r="188" spans="1:29" ht="23.4" thickBot="1">
      <c r="A188" s="1150" t="s">
        <v>762</v>
      </c>
      <c r="B188" s="1151">
        <v>279.8</v>
      </c>
    </row>
    <row r="189" spans="1:29" ht="23.4" thickBot="1">
      <c r="A189" s="1150" t="s">
        <v>763</v>
      </c>
      <c r="B189" s="1151">
        <v>281.60000000000002</v>
      </c>
    </row>
    <row r="190" spans="1:29" ht="23.4" thickBot="1">
      <c r="A190" s="1150" t="s">
        <v>764</v>
      </c>
      <c r="B190" s="1151">
        <v>284.10000000000002</v>
      </c>
    </row>
    <row r="191" spans="1:29" ht="23.4" thickBot="1">
      <c r="A191" s="1150" t="s">
        <v>765</v>
      </c>
      <c r="B191" s="1151">
        <v>286.10000000000002</v>
      </c>
    </row>
    <row r="192" spans="1:29" ht="23.4" thickBot="1">
      <c r="A192" s="1150" t="s">
        <v>766</v>
      </c>
      <c r="B192" s="1151">
        <v>289.39999999999998</v>
      </c>
    </row>
    <row r="193" spans="1:2" ht="23.4" thickBot="1">
      <c r="A193" s="1150" t="s">
        <v>767</v>
      </c>
      <c r="B193" s="1151">
        <v>299.2</v>
      </c>
    </row>
    <row r="194" spans="1:2" ht="23.4" thickBot="1">
      <c r="A194" s="1150" t="s">
        <v>768</v>
      </c>
      <c r="B194" s="1151">
        <v>280.10000000000002</v>
      </c>
    </row>
    <row r="195" spans="1:2" ht="23.4" thickBot="1">
      <c r="A195" s="1150" t="s">
        <v>769</v>
      </c>
      <c r="B195" s="1151">
        <v>295.7</v>
      </c>
    </row>
    <row r="196" spans="1:2" ht="23.4" thickBot="1">
      <c r="A196" s="1150" t="s">
        <v>770</v>
      </c>
      <c r="B196" s="1151">
        <v>270.10000000000002</v>
      </c>
    </row>
    <row r="197" spans="1:2" ht="23.4" thickBot="1">
      <c r="A197" s="1150" t="s">
        <v>771</v>
      </c>
      <c r="B197" s="1151">
        <v>278.3</v>
      </c>
    </row>
    <row r="198" spans="1:2" ht="23.4" thickBot="1">
      <c r="A198" s="1150" t="s">
        <v>772</v>
      </c>
      <c r="B198" s="1151">
        <v>279.8</v>
      </c>
    </row>
    <row r="199" spans="1:2" ht="23.4" thickBot="1">
      <c r="A199" s="1150" t="s">
        <v>773</v>
      </c>
      <c r="B199" s="1151">
        <v>1026.0999999999999</v>
      </c>
    </row>
    <row r="200" spans="1:2" ht="23.4" thickBot="1">
      <c r="A200" s="1150" t="s">
        <v>774</v>
      </c>
      <c r="B200" s="1151">
        <v>1000.3</v>
      </c>
    </row>
    <row r="201" spans="1:2" ht="23.4" thickBot="1">
      <c r="A201" s="1150" t="s">
        <v>775</v>
      </c>
      <c r="B201" s="1151">
        <v>999.6</v>
      </c>
    </row>
    <row r="202" spans="1:2" ht="23.4" thickBot="1">
      <c r="A202" s="1150" t="s">
        <v>776</v>
      </c>
      <c r="B202" s="1151">
        <v>1014.8</v>
      </c>
    </row>
    <row r="203" spans="1:2" ht="23.4" thickBot="1">
      <c r="A203" s="1150" t="s">
        <v>777</v>
      </c>
      <c r="B203" s="1151">
        <v>1010</v>
      </c>
    </row>
    <row r="204" spans="1:2" ht="23.4" thickBot="1">
      <c r="A204" s="1150" t="s">
        <v>778</v>
      </c>
      <c r="B204" s="1151">
        <v>1037</v>
      </c>
    </row>
    <row r="205" spans="1:2" ht="23.4" thickBot="1">
      <c r="A205" s="1150" t="s">
        <v>779</v>
      </c>
      <c r="B205" s="1151">
        <v>1023.6</v>
      </c>
    </row>
    <row r="206" spans="1:2" ht="23.4" thickBot="1">
      <c r="A206" s="1150" t="s">
        <v>780</v>
      </c>
      <c r="B206" s="1151">
        <v>1010.1</v>
      </c>
    </row>
    <row r="207" spans="1:2" ht="23.4" thickBot="1">
      <c r="A207" s="1150" t="s">
        <v>781</v>
      </c>
      <c r="B207" s="1151">
        <v>1279.5999999999999</v>
      </c>
    </row>
    <row r="208" spans="1:2" ht="23.4" thickBot="1">
      <c r="A208" s="1150" t="s">
        <v>782</v>
      </c>
      <c r="B208" s="1151">
        <v>1205.4000000000001</v>
      </c>
    </row>
    <row r="209" spans="1:2" ht="23.4" thickBot="1">
      <c r="A209" s="1150" t="s">
        <v>783</v>
      </c>
      <c r="B209" s="1151">
        <v>1626.6</v>
      </c>
    </row>
    <row r="210" spans="1:2" ht="23.4" thickBot="1">
      <c r="A210" s="1150" t="s">
        <v>784</v>
      </c>
      <c r="B210" s="1151">
        <v>1730.4</v>
      </c>
    </row>
    <row r="211" spans="1:2" ht="23.4" thickBot="1">
      <c r="A211" s="1150" t="s">
        <v>785</v>
      </c>
      <c r="B211" s="1151">
        <v>1718.8</v>
      </c>
    </row>
    <row r="212" spans="1:2" ht="23.4" thickBot="1">
      <c r="A212" s="1150" t="s">
        <v>786</v>
      </c>
      <c r="B212" s="1151">
        <v>1658.4</v>
      </c>
    </row>
    <row r="213" spans="1:2" ht="23.4" thickBot="1">
      <c r="A213" s="1150" t="s">
        <v>787</v>
      </c>
      <c r="B213" s="1151">
        <v>1669.6</v>
      </c>
    </row>
    <row r="214" spans="1:2" ht="23.4" thickBot="1">
      <c r="A214" s="1150" t="s">
        <v>788</v>
      </c>
      <c r="B214" s="1151">
        <v>1589.1</v>
      </c>
    </row>
    <row r="215" spans="1:2" ht="23.4" thickBot="1">
      <c r="A215" s="1150" t="s">
        <v>789</v>
      </c>
      <c r="B215" s="1151">
        <v>1670</v>
      </c>
    </row>
    <row r="216" spans="1:2" ht="23.4" thickBot="1">
      <c r="A216" s="1150" t="s">
        <v>790</v>
      </c>
      <c r="B216" s="1151">
        <v>1627.2</v>
      </c>
    </row>
    <row r="217" spans="1:2" ht="23.4" thickBot="1">
      <c r="A217" s="1150" t="s">
        <v>791</v>
      </c>
      <c r="B217" s="1151">
        <v>1685.6</v>
      </c>
    </row>
    <row r="218" spans="1:2" ht="23.4" thickBot="1">
      <c r="A218" s="1150" t="s">
        <v>792</v>
      </c>
      <c r="B218" s="1151">
        <v>1690.9</v>
      </c>
    </row>
    <row r="219" spans="1:2" ht="23.4" thickBot="1">
      <c r="A219" s="1150" t="s">
        <v>816</v>
      </c>
      <c r="B219" s="1151">
        <v>1373.4</v>
      </c>
    </row>
    <row r="220" spans="1:2" ht="23.4" thickBot="1">
      <c r="A220" s="1150" t="s">
        <v>817</v>
      </c>
      <c r="B220" s="1151">
        <v>1421</v>
      </c>
    </row>
    <row r="221" spans="1:2" ht="23.4" thickBot="1">
      <c r="A221" s="1150" t="s">
        <v>818</v>
      </c>
      <c r="B221" s="1151">
        <v>1383.8</v>
      </c>
    </row>
    <row r="222" spans="1:2" ht="23.4" thickBot="1">
      <c r="A222" s="1150" t="s">
        <v>819</v>
      </c>
      <c r="B222" s="1151">
        <v>1379.3</v>
      </c>
    </row>
    <row r="223" spans="1:2" ht="23.4" thickBot="1">
      <c r="A223" s="1150" t="s">
        <v>820</v>
      </c>
      <c r="B223" s="1151">
        <v>1395.8</v>
      </c>
    </row>
    <row r="224" spans="1:2" ht="23.4" thickBot="1">
      <c r="A224" s="1150" t="s">
        <v>821</v>
      </c>
      <c r="B224" s="1151">
        <v>1409.1</v>
      </c>
    </row>
    <row r="225" spans="1:2" ht="23.4" thickBot="1">
      <c r="A225" s="1150" t="s">
        <v>822</v>
      </c>
      <c r="B225" s="1151">
        <v>1393</v>
      </c>
    </row>
    <row r="226" spans="1:2" ht="23.4" thickBot="1">
      <c r="A226" s="1150" t="s">
        <v>823</v>
      </c>
      <c r="B226" s="1151">
        <v>1440.3</v>
      </c>
    </row>
    <row r="227" spans="1:2" ht="23.4" thickBot="1">
      <c r="A227" s="1150" t="s">
        <v>824</v>
      </c>
      <c r="B227" s="1151">
        <v>1397.1</v>
      </c>
    </row>
    <row r="228" spans="1:2" ht="23.4" thickBot="1">
      <c r="A228" s="1150" t="s">
        <v>825</v>
      </c>
      <c r="B228" s="1151">
        <v>1417.2</v>
      </c>
    </row>
    <row r="229" spans="1:2" ht="23.4" thickBot="1">
      <c r="A229" s="1150" t="s">
        <v>826</v>
      </c>
      <c r="B229" s="1151">
        <v>1465.3</v>
      </c>
    </row>
    <row r="230" spans="1:2" ht="23.4" thickBot="1">
      <c r="A230" s="1150" t="s">
        <v>827</v>
      </c>
      <c r="B230" s="1151">
        <v>1446.2</v>
      </c>
    </row>
    <row r="231" spans="1:2" ht="23.4" thickBot="1">
      <c r="A231" s="1150" t="s">
        <v>828</v>
      </c>
      <c r="B231" s="1151">
        <v>1446.6</v>
      </c>
    </row>
    <row r="232" spans="1:2" ht="23.4" thickBot="1">
      <c r="A232" s="1150" t="s">
        <v>829</v>
      </c>
      <c r="B232" s="1151">
        <v>1436.8</v>
      </c>
    </row>
    <row r="233" spans="1:2" ht="23.4" thickBot="1">
      <c r="A233" s="1150" t="s">
        <v>830</v>
      </c>
      <c r="B233" s="1151">
        <v>1437.2</v>
      </c>
    </row>
    <row r="234" spans="1:2" ht="23.4" thickBot="1">
      <c r="A234" s="1150" t="s">
        <v>737</v>
      </c>
      <c r="B234" s="1151">
        <v>1444.8</v>
      </c>
    </row>
    <row r="235" spans="1:2" ht="23.4" thickBot="1">
      <c r="A235" s="1150" t="s">
        <v>831</v>
      </c>
      <c r="B235" s="1151">
        <v>1415</v>
      </c>
    </row>
    <row r="236" spans="1:2" ht="23.4" thickBot="1">
      <c r="A236" s="1150" t="s">
        <v>832</v>
      </c>
      <c r="B236" s="1151">
        <v>1380.1</v>
      </c>
    </row>
    <row r="237" spans="1:2" ht="23.4" thickBot="1">
      <c r="A237" s="1150" t="s">
        <v>833</v>
      </c>
      <c r="B237" s="1151">
        <v>1386.9</v>
      </c>
    </row>
    <row r="238" spans="1:2" ht="23.4" thickBot="1">
      <c r="A238" s="1150" t="s">
        <v>834</v>
      </c>
      <c r="B238" s="1151">
        <v>1388</v>
      </c>
    </row>
    <row r="239" spans="1:2" ht="23.4" thickBot="1">
      <c r="A239" s="1150" t="s">
        <v>835</v>
      </c>
      <c r="B239" s="1151">
        <v>1435.1</v>
      </c>
    </row>
    <row r="240" spans="1:2" ht="23.4" thickBot="1">
      <c r="A240" s="1150" t="s">
        <v>836</v>
      </c>
      <c r="B240" s="1151">
        <v>1423</v>
      </c>
    </row>
    <row r="241" spans="1:2" ht="23.4" thickBot="1">
      <c r="A241" s="1150" t="s">
        <v>837</v>
      </c>
      <c r="B241" s="1151">
        <v>1395.6</v>
      </c>
    </row>
    <row r="242" spans="1:2" ht="23.4" thickBot="1">
      <c r="A242" s="1150" t="s">
        <v>838</v>
      </c>
      <c r="B242" s="1151">
        <v>1370.1</v>
      </c>
    </row>
    <row r="243" spans="1:2" ht="23.4" thickBot="1">
      <c r="A243" s="1150" t="s">
        <v>839</v>
      </c>
      <c r="B243" s="1152">
        <v>1370.7</v>
      </c>
    </row>
    <row r="244" spans="1:2" ht="23.4" thickBot="1">
      <c r="A244" s="1150" t="s">
        <v>793</v>
      </c>
      <c r="B244" s="1151">
        <v>1063.9000000000001</v>
      </c>
    </row>
    <row r="245" spans="1:2" ht="23.4" thickBot="1">
      <c r="A245" s="1150" t="s">
        <v>794</v>
      </c>
      <c r="B245" s="1151">
        <v>1040.4000000000001</v>
      </c>
    </row>
    <row r="246" spans="1:2" ht="23.4" thickBot="1">
      <c r="A246" s="1150" t="s">
        <v>795</v>
      </c>
      <c r="B246" s="1151">
        <v>1050.2</v>
      </c>
    </row>
    <row r="247" spans="1:2" ht="23.4" thickBot="1">
      <c r="A247" s="1150" t="s">
        <v>725</v>
      </c>
      <c r="B247" s="1151">
        <v>1034.3</v>
      </c>
    </row>
    <row r="248" spans="1:2" ht="23.4" thickBot="1">
      <c r="A248" s="1150" t="s">
        <v>796</v>
      </c>
      <c r="B248" s="1151">
        <v>1031</v>
      </c>
    </row>
    <row r="249" spans="1:2" ht="23.4" thickBot="1">
      <c r="A249" s="1150" t="s">
        <v>797</v>
      </c>
      <c r="B249" s="1151">
        <v>1038.2</v>
      </c>
    </row>
    <row r="250" spans="1:2" ht="23.4" thickBot="1">
      <c r="A250" s="1150" t="s">
        <v>798</v>
      </c>
      <c r="B250" s="1151">
        <v>1071.7</v>
      </c>
    </row>
    <row r="251" spans="1:2" ht="23.4" thickBot="1">
      <c r="A251" s="1150" t="s">
        <v>799</v>
      </c>
      <c r="B251" s="1151">
        <v>1055.5</v>
      </c>
    </row>
    <row r="252" spans="1:2" ht="23.4" thickBot="1">
      <c r="A252" s="1150" t="s">
        <v>800</v>
      </c>
      <c r="B252" s="1151">
        <v>1039.5</v>
      </c>
    </row>
    <row r="253" spans="1:2" ht="23.4" thickBot="1">
      <c r="A253" s="1150" t="s">
        <v>736</v>
      </c>
      <c r="B253" s="1151">
        <v>1050.4000000000001</v>
      </c>
    </row>
    <row r="254" spans="1:2" ht="23.4" thickBot="1">
      <c r="A254" s="1150" t="s">
        <v>801</v>
      </c>
      <c r="B254" s="1151">
        <v>1048.8</v>
      </c>
    </row>
    <row r="255" spans="1:2" ht="23.4" thickBot="1">
      <c r="A255" s="1150" t="s">
        <v>802</v>
      </c>
      <c r="B255" s="1151">
        <v>1039.0999999999999</v>
      </c>
    </row>
    <row r="256" spans="1:2" ht="23.4" thickBot="1">
      <c r="A256" s="1150" t="s">
        <v>803</v>
      </c>
      <c r="B256" s="1151">
        <v>1073.0999999999999</v>
      </c>
    </row>
    <row r="257" spans="1:2" ht="23.4" thickBot="1">
      <c r="A257" s="1150" t="s">
        <v>804</v>
      </c>
      <c r="B257" s="1151">
        <v>1080.5</v>
      </c>
    </row>
    <row r="258" spans="1:2" ht="23.4" thickBot="1">
      <c r="A258" s="1150" t="s">
        <v>805</v>
      </c>
      <c r="B258" s="1151">
        <v>1065.8</v>
      </c>
    </row>
    <row r="259" spans="1:2" ht="23.4" thickBot="1">
      <c r="A259" s="1150" t="s">
        <v>806</v>
      </c>
      <c r="B259" s="1151">
        <v>1066</v>
      </c>
    </row>
    <row r="260" spans="1:2" ht="23.4" thickBot="1">
      <c r="A260" s="1150" t="s">
        <v>807</v>
      </c>
      <c r="B260" s="1151">
        <v>1058.4000000000001</v>
      </c>
    </row>
    <row r="261" spans="1:2" ht="23.4" thickBot="1">
      <c r="A261" s="1150" t="s">
        <v>808</v>
      </c>
      <c r="B261" s="1151">
        <v>1074.5999999999999</v>
      </c>
    </row>
    <row r="262" spans="1:2" ht="23.4" thickBot="1">
      <c r="A262" s="1150" t="s">
        <v>809</v>
      </c>
      <c r="B262" s="1151">
        <v>1021.2</v>
      </c>
    </row>
    <row r="263" spans="1:2" ht="23.4" thickBot="1">
      <c r="A263" s="1150" t="s">
        <v>810</v>
      </c>
      <c r="B263" s="1151">
        <v>1048.2</v>
      </c>
    </row>
    <row r="264" spans="1:2" ht="23.4" thickBot="1">
      <c r="A264" s="1150" t="s">
        <v>811</v>
      </c>
      <c r="B264" s="1151">
        <v>1046.7</v>
      </c>
    </row>
    <row r="265" spans="1:2" ht="23.4" thickBot="1">
      <c r="A265" s="1150" t="s">
        <v>812</v>
      </c>
      <c r="B265" s="1151">
        <v>1064.2</v>
      </c>
    </row>
    <row r="266" spans="1:2" ht="23.4" thickBot="1">
      <c r="A266" s="1150" t="s">
        <v>813</v>
      </c>
      <c r="B266" s="1151">
        <v>1050.0999999999999</v>
      </c>
    </row>
    <row r="267" spans="1:2" ht="23.4" thickBot="1">
      <c r="A267" s="1150" t="s">
        <v>814</v>
      </c>
      <c r="B267" s="1151">
        <v>1023.3</v>
      </c>
    </row>
    <row r="268" spans="1:2" ht="23.4" thickBot="1">
      <c r="A268" s="1150" t="s">
        <v>815</v>
      </c>
      <c r="B268" s="1152">
        <v>1046.9000000000001</v>
      </c>
    </row>
    <row r="269" spans="1:2" ht="23.4" thickBot="1">
      <c r="A269" s="1150" t="s">
        <v>840</v>
      </c>
      <c r="B269" s="1151">
        <v>627.6</v>
      </c>
    </row>
    <row r="270" spans="1:2" ht="23.4" thickBot="1">
      <c r="A270" s="1150" t="s">
        <v>841</v>
      </c>
      <c r="B270" s="1151">
        <v>615</v>
      </c>
    </row>
    <row r="271" spans="1:2" ht="23.4" thickBot="1">
      <c r="A271" s="1150" t="s">
        <v>842</v>
      </c>
      <c r="B271" s="1151">
        <v>611</v>
      </c>
    </row>
    <row r="272" spans="1:2" ht="23.4" thickBot="1">
      <c r="A272" s="1150" t="s">
        <v>843</v>
      </c>
      <c r="B272" s="1151">
        <v>632</v>
      </c>
    </row>
    <row r="273" spans="1:2" ht="23.4" thickBot="1">
      <c r="A273" s="1150" t="s">
        <v>844</v>
      </c>
      <c r="B273" s="1151">
        <v>631.70000000000005</v>
      </c>
    </row>
    <row r="274" spans="1:2" ht="23.4" thickBot="1">
      <c r="A274" s="1150" t="s">
        <v>845</v>
      </c>
      <c r="B274" s="1151">
        <v>615.9</v>
      </c>
    </row>
    <row r="275" spans="1:2" ht="23.4" thickBot="1">
      <c r="A275" s="1150" t="s">
        <v>846</v>
      </c>
      <c r="B275" s="1151">
        <v>611.79999999999995</v>
      </c>
    </row>
    <row r="276" spans="1:2" ht="23.4" thickBot="1">
      <c r="A276" s="1150" t="s">
        <v>847</v>
      </c>
      <c r="B276" s="1151">
        <v>624.79999999999995</v>
      </c>
    </row>
    <row r="277" spans="1:2" ht="23.4" thickBot="1">
      <c r="A277" s="1150" t="s">
        <v>848</v>
      </c>
      <c r="B277" s="1151">
        <v>605.79999999999995</v>
      </c>
    </row>
    <row r="278" spans="1:2" ht="23.4" thickBot="1">
      <c r="A278" s="1150" t="s">
        <v>849</v>
      </c>
      <c r="B278" s="1151">
        <v>632.6</v>
      </c>
    </row>
    <row r="279" spans="1:2" ht="23.4" thickBot="1">
      <c r="A279" s="1150" t="s">
        <v>850</v>
      </c>
      <c r="B279" s="1151">
        <v>634.1</v>
      </c>
    </row>
    <row r="280" spans="1:2" ht="23.4" thickBot="1">
      <c r="A280" s="1150" t="s">
        <v>851</v>
      </c>
      <c r="B280" s="1151">
        <v>610.9</v>
      </c>
    </row>
    <row r="281" spans="1:2" ht="23.4" thickBot="1">
      <c r="A281" s="1150" t="s">
        <v>852</v>
      </c>
      <c r="B281" s="1151">
        <v>630</v>
      </c>
    </row>
    <row r="282" spans="1:2" ht="23.4" thickBot="1">
      <c r="A282" s="1150" t="s">
        <v>853</v>
      </c>
      <c r="B282" s="1151">
        <v>610.5</v>
      </c>
    </row>
    <row r="283" spans="1:2" ht="23.4" thickBot="1">
      <c r="A283" s="1150" t="s">
        <v>854</v>
      </c>
      <c r="B283" s="1151">
        <v>616</v>
      </c>
    </row>
    <row r="284" spans="1:2" ht="23.4" thickBot="1">
      <c r="A284" s="1150" t="s">
        <v>855</v>
      </c>
      <c r="B284" s="1151">
        <v>619.70000000000005</v>
      </c>
    </row>
    <row r="285" spans="1:2" ht="23.4" thickBot="1">
      <c r="A285" s="1150" t="s">
        <v>856</v>
      </c>
      <c r="B285" s="1151">
        <v>613.1</v>
      </c>
    </row>
    <row r="286" spans="1:2" ht="23.4" thickBot="1">
      <c r="A286" s="1150" t="s">
        <v>735</v>
      </c>
      <c r="B286" s="1151">
        <v>613.4</v>
      </c>
    </row>
    <row r="287" spans="1:2" ht="23.4" thickBot="1">
      <c r="A287" s="1150" t="s">
        <v>857</v>
      </c>
      <c r="B287" s="1151">
        <v>630.5</v>
      </c>
    </row>
    <row r="288" spans="1:2" ht="23.4" thickBot="1">
      <c r="A288" s="1150" t="s">
        <v>858</v>
      </c>
      <c r="B288" s="1151">
        <v>622.9</v>
      </c>
    </row>
    <row r="289" spans="1:2" ht="23.4" thickBot="1">
      <c r="A289" s="1150" t="s">
        <v>859</v>
      </c>
      <c r="B289" s="1151">
        <v>616.4</v>
      </c>
    </row>
    <row r="290" spans="1:2" ht="23.4" thickBot="1">
      <c r="A290" s="1150" t="s">
        <v>860</v>
      </c>
      <c r="B290" s="1151">
        <v>625.79999999999995</v>
      </c>
    </row>
    <row r="291" spans="1:2" ht="23.4" thickBot="1">
      <c r="A291" s="1150" t="s">
        <v>861</v>
      </c>
      <c r="B291" s="1151">
        <v>619.79999999999995</v>
      </c>
    </row>
    <row r="292" spans="1:2" ht="23.4" thickBot="1">
      <c r="A292" s="1150" t="s">
        <v>862</v>
      </c>
      <c r="B292" s="1151">
        <v>632.6</v>
      </c>
    </row>
    <row r="293" spans="1:2" ht="23.4" thickBot="1">
      <c r="A293" s="1150" t="s">
        <v>863</v>
      </c>
      <c r="B293" s="1152">
        <v>613.70000000000005</v>
      </c>
    </row>
    <row r="294" spans="1:2" ht="23.4" thickBot="1">
      <c r="A294" s="1150" t="s">
        <v>864</v>
      </c>
      <c r="B294" s="1151">
        <v>750.8</v>
      </c>
    </row>
    <row r="295" spans="1:2" ht="23.4" thickBot="1">
      <c r="A295" s="1150" t="s">
        <v>865</v>
      </c>
      <c r="B295" s="1151">
        <v>768.1</v>
      </c>
    </row>
    <row r="296" spans="1:2" ht="23.4" thickBot="1">
      <c r="A296" s="1150" t="s">
        <v>866</v>
      </c>
      <c r="B296" s="1151">
        <v>752.9</v>
      </c>
    </row>
    <row r="297" spans="1:2" ht="23.4" thickBot="1">
      <c r="A297" s="1150" t="s">
        <v>738</v>
      </c>
      <c r="B297" s="1151">
        <v>771.3</v>
      </c>
    </row>
    <row r="298" spans="1:2" ht="23.4" thickBot="1">
      <c r="A298" s="1150" t="s">
        <v>867</v>
      </c>
      <c r="B298" s="1151">
        <v>755.8</v>
      </c>
    </row>
    <row r="299" spans="1:2" ht="23.4" thickBot="1">
      <c r="A299" s="1150" t="s">
        <v>868</v>
      </c>
      <c r="B299" s="1151">
        <v>748.6</v>
      </c>
    </row>
    <row r="300" spans="1:2" ht="23.4" thickBot="1">
      <c r="A300" s="1150" t="s">
        <v>869</v>
      </c>
      <c r="B300" s="1151">
        <v>784.3</v>
      </c>
    </row>
    <row r="301" spans="1:2" ht="23.4" thickBot="1">
      <c r="A301" s="1150" t="s">
        <v>870</v>
      </c>
      <c r="B301" s="1151">
        <v>746</v>
      </c>
    </row>
    <row r="302" spans="1:2" ht="23.4" thickBot="1">
      <c r="A302" s="1150" t="s">
        <v>871</v>
      </c>
      <c r="B302" s="1151">
        <v>749.9</v>
      </c>
    </row>
    <row r="303" spans="1:2" ht="23.4" thickBot="1">
      <c r="A303" s="1150" t="s">
        <v>872</v>
      </c>
      <c r="B303" s="1151">
        <v>755.4</v>
      </c>
    </row>
    <row r="304" spans="1:2" ht="23.4" thickBot="1">
      <c r="A304" s="1150" t="s">
        <v>740</v>
      </c>
      <c r="B304" s="1151">
        <v>770.8</v>
      </c>
    </row>
    <row r="305" spans="1:2" ht="23.4" thickBot="1">
      <c r="A305" s="1150" t="s">
        <v>873</v>
      </c>
      <c r="B305" s="1151">
        <v>750.1</v>
      </c>
    </row>
    <row r="306" spans="1:2" ht="23.4" thickBot="1">
      <c r="A306" s="1150" t="s">
        <v>741</v>
      </c>
      <c r="B306" s="1151">
        <v>769.6</v>
      </c>
    </row>
    <row r="307" spans="1:2" ht="23.4" thickBot="1">
      <c r="A307" s="1150" t="s">
        <v>874</v>
      </c>
      <c r="B307" s="1151">
        <v>745.5</v>
      </c>
    </row>
    <row r="308" spans="1:2" ht="23.4" thickBot="1">
      <c r="A308" s="1150" t="s">
        <v>875</v>
      </c>
      <c r="B308" s="1151">
        <v>761.6</v>
      </c>
    </row>
    <row r="309" spans="1:2" ht="23.4" thickBot="1">
      <c r="A309" s="1150" t="s">
        <v>876</v>
      </c>
      <c r="B309" s="1151">
        <v>763.3</v>
      </c>
    </row>
    <row r="310" spans="1:2" ht="23.4" thickBot="1">
      <c r="A310" s="1150" t="s">
        <v>877</v>
      </c>
      <c r="B310" s="1151">
        <v>747.5</v>
      </c>
    </row>
    <row r="311" spans="1:2" ht="23.4" thickBot="1">
      <c r="A311" s="1150" t="s">
        <v>878</v>
      </c>
      <c r="B311" s="1151">
        <v>754.2</v>
      </c>
    </row>
    <row r="312" spans="1:2" ht="23.4" thickBot="1">
      <c r="A312" s="1150" t="s">
        <v>739</v>
      </c>
      <c r="B312" s="1151">
        <v>776</v>
      </c>
    </row>
    <row r="313" spans="1:2" ht="23.4" thickBot="1">
      <c r="A313" s="1150" t="s">
        <v>742</v>
      </c>
      <c r="B313" s="1151">
        <v>756.4</v>
      </c>
    </row>
    <row r="314" spans="1:2" ht="23.4" thickBot="1">
      <c r="A314" s="1150" t="s">
        <v>879</v>
      </c>
      <c r="B314" s="1151">
        <v>753.9</v>
      </c>
    </row>
    <row r="315" spans="1:2" ht="23.4" thickBot="1">
      <c r="A315" s="1150" t="s">
        <v>880</v>
      </c>
      <c r="B315" s="1151">
        <v>750.1</v>
      </c>
    </row>
    <row r="316" spans="1:2" ht="23.4" thickBot="1">
      <c r="A316" s="1150" t="s">
        <v>881</v>
      </c>
      <c r="B316" s="1151">
        <v>757.9</v>
      </c>
    </row>
    <row r="317" spans="1:2" ht="23.4" thickBot="1">
      <c r="A317" s="1150" t="s">
        <v>882</v>
      </c>
      <c r="B317" s="1151">
        <v>742.4</v>
      </c>
    </row>
    <row r="318" spans="1:2" ht="23.4" thickBot="1">
      <c r="A318" s="1150" t="s">
        <v>883</v>
      </c>
      <c r="B318" s="1152">
        <v>747.3</v>
      </c>
    </row>
  </sheetData>
  <mergeCells count="113">
    <mergeCell ref="A11:L11"/>
    <mergeCell ref="Z4:AJ4"/>
    <mergeCell ref="AD10:AJ10"/>
    <mergeCell ref="AD11:AJ11"/>
    <mergeCell ref="K10:L10"/>
    <mergeCell ref="AD5:AJ5"/>
    <mergeCell ref="Z5:AC5"/>
    <mergeCell ref="Z10:AA10"/>
    <mergeCell ref="Z11:AA11"/>
    <mergeCell ref="Z6:AA6"/>
    <mergeCell ref="Z7:AA7"/>
    <mergeCell ref="Z8:AA8"/>
    <mergeCell ref="AB6:AC6"/>
    <mergeCell ref="AB7:AC7"/>
    <mergeCell ref="AB8:AC8"/>
    <mergeCell ref="AD6:AJ6"/>
    <mergeCell ref="AD7:AJ7"/>
    <mergeCell ref="O4:S4"/>
    <mergeCell ref="U4:X4"/>
    <mergeCell ref="AD8:AJ8"/>
    <mergeCell ref="I146:J146"/>
    <mergeCell ref="L146:M146"/>
    <mergeCell ref="I147:J147"/>
    <mergeCell ref="L147:L148"/>
    <mergeCell ref="M147:M148"/>
    <mergeCell ref="O101:AC101"/>
    <mergeCell ref="T85:T86"/>
    <mergeCell ref="AO16:AP16"/>
    <mergeCell ref="AQ16:AR16"/>
    <mergeCell ref="N78:Y78"/>
    <mergeCell ref="N82:Y82"/>
    <mergeCell ref="O73:O74"/>
    <mergeCell ref="O67:O69"/>
    <mergeCell ref="P67:P69"/>
    <mergeCell ref="Q67:Q69"/>
    <mergeCell ref="M143:N143"/>
    <mergeCell ref="M144:N144"/>
    <mergeCell ref="M140:N140"/>
    <mergeCell ref="M141:N141"/>
    <mergeCell ref="M142:N142"/>
    <mergeCell ref="A81:L81"/>
    <mergeCell ref="D126:E126"/>
    <mergeCell ref="I101:M101"/>
    <mergeCell ref="A101:C101"/>
    <mergeCell ref="Z12:AA12"/>
    <mergeCell ref="R67:R69"/>
    <mergeCell ref="S67:S69"/>
    <mergeCell ref="T73:AQ73"/>
    <mergeCell ref="P73:P74"/>
    <mergeCell ref="Q73:Q74"/>
    <mergeCell ref="R73:R74"/>
    <mergeCell ref="S73:S74"/>
    <mergeCell ref="AL67:AM68"/>
    <mergeCell ref="AN67:AN69"/>
    <mergeCell ref="AO67:AP68"/>
    <mergeCell ref="AQ67:AR68"/>
    <mergeCell ref="T67:AD67"/>
    <mergeCell ref="AE67:AG68"/>
    <mergeCell ref="AE14:AT14"/>
    <mergeCell ref="AE15:AL15"/>
    <mergeCell ref="AM15:AT15"/>
    <mergeCell ref="AS16:AT16"/>
    <mergeCell ref="O23:T23"/>
    <mergeCell ref="V23:W23"/>
    <mergeCell ref="AE16:AF16"/>
    <mergeCell ref="AG16:AH16"/>
    <mergeCell ref="AI16:AJ16"/>
    <mergeCell ref="AK16:AL16"/>
    <mergeCell ref="A97:B98"/>
    <mergeCell ref="D125:E125"/>
    <mergeCell ref="B75:L75"/>
    <mergeCell ref="A82:L82"/>
    <mergeCell ref="G15:H15"/>
    <mergeCell ref="I15:L16"/>
    <mergeCell ref="A48:L48"/>
    <mergeCell ref="A79:L79"/>
    <mergeCell ref="G16:H16"/>
    <mergeCell ref="A15:B15"/>
    <mergeCell ref="A90:A92"/>
    <mergeCell ref="C90:C92"/>
    <mergeCell ref="D90:D92"/>
    <mergeCell ref="E90:E92"/>
    <mergeCell ref="D15:E15"/>
    <mergeCell ref="M47:N47"/>
    <mergeCell ref="B73:L73"/>
    <mergeCell ref="C74:L74"/>
    <mergeCell ref="AY73:AZ73"/>
    <mergeCell ref="B90:B92"/>
    <mergeCell ref="AY85:AZ85"/>
    <mergeCell ref="BA73:BB73"/>
    <mergeCell ref="AR73:AT73"/>
    <mergeCell ref="AU73:AU74"/>
    <mergeCell ref="AV73:AV74"/>
    <mergeCell ref="AW73:AX73"/>
    <mergeCell ref="AT67:AT69"/>
    <mergeCell ref="AU67:AU69"/>
    <mergeCell ref="AV67:AV69"/>
    <mergeCell ref="AS67:AS69"/>
    <mergeCell ref="AJ67:AJ69"/>
    <mergeCell ref="AH67:AH69"/>
    <mergeCell ref="AI67:AI69"/>
    <mergeCell ref="AM16:AN16"/>
    <mergeCell ref="BA85:BB85"/>
    <mergeCell ref="BC85:BD85"/>
    <mergeCell ref="U85:U86"/>
    <mergeCell ref="V85:AS85"/>
    <mergeCell ref="AT85:AV85"/>
    <mergeCell ref="AW85:AW86"/>
    <mergeCell ref="AX85:AX86"/>
    <mergeCell ref="P85:P86"/>
    <mergeCell ref="Q85:Q86"/>
    <mergeCell ref="R85:R86"/>
    <mergeCell ref="S85:S86"/>
  </mergeCells>
  <phoneticPr fontId="129" type="noConversion"/>
  <conditionalFormatting sqref="G24:H46">
    <cfRule type="cellIs" dxfId="12" priority="32" operator="equal">
      <formula>0</formula>
    </cfRule>
  </conditionalFormatting>
  <conditionalFormatting sqref="P25:P44">
    <cfRule type="cellIs" dxfId="11" priority="2" operator="equal">
      <formula>""</formula>
    </cfRule>
  </conditionalFormatting>
  <conditionalFormatting sqref="P46:P50">
    <cfRule type="cellIs" dxfId="10" priority="3" operator="equal">
      <formula>""</formula>
    </cfRule>
  </conditionalFormatting>
  <conditionalFormatting sqref="R33:R34">
    <cfRule type="cellIs" dxfId="9" priority="1" operator="equal">
      <formula>""</formula>
    </cfRule>
  </conditionalFormatting>
  <conditionalFormatting sqref="R37">
    <cfRule type="cellIs" dxfId="8" priority="34" operator="equal">
      <formula>""</formula>
    </cfRule>
  </conditionalFormatting>
  <conditionalFormatting sqref="R39 R42">
    <cfRule type="cellIs" dxfId="7" priority="37" operator="equal">
      <formula>""</formula>
    </cfRule>
  </conditionalFormatting>
  <conditionalFormatting sqref="T70:AG70">
    <cfRule type="cellIs" dxfId="6" priority="38" stopIfTrue="1" operator="lessThan">
      <formula>$J$37</formula>
    </cfRule>
    <cfRule type="cellIs" dxfId="5" priority="39" stopIfTrue="1" operator="greaterThan">
      <formula>$J$33</formula>
    </cfRule>
    <cfRule type="cellIs" dxfId="4" priority="40" stopIfTrue="1" operator="between">
      <formula>$J$33</formula>
      <formula>$J$37</formula>
    </cfRule>
  </conditionalFormatting>
  <conditionalFormatting sqref="AD70:AE70">
    <cfRule type="cellIs" dxfId="3" priority="9" stopIfTrue="1" operator="lessThan">
      <formula>$P$35</formula>
    </cfRule>
    <cfRule type="cellIs" dxfId="2" priority="10" stopIfTrue="1" operator="greaterThanOrEqual">
      <formula>$P$35</formula>
    </cfRule>
  </conditionalFormatting>
  <conditionalFormatting sqref="AG70">
    <cfRule type="cellIs" dxfId="1" priority="7" stopIfTrue="1" operator="lessThan">
      <formula>$S$35</formula>
    </cfRule>
    <cfRule type="cellIs" dxfId="0" priority="8" stopIfTrue="1" operator="greaterThanOrEqual">
      <formula>$S$35</formula>
    </cfRule>
  </conditionalFormatting>
  <dataValidations disablePrompts="1" count="5">
    <dataValidation type="list" allowBlank="1" showInputMessage="1" showErrorMessage="1" sqref="G16:H16" xr:uid="{00000000-0002-0000-0500-000000000000}">
      <formula1>"A, B, C, D"</formula1>
    </dataValidation>
    <dataValidation type="list" allowBlank="1" showInputMessage="1" showErrorMessage="1" sqref="AU70" xr:uid="{E56742C5-FFE8-41AE-B5B3-FD8A649E1C20}">
      <formula1>$AL$2:$AL$3</formula1>
    </dataValidation>
    <dataValidation type="list" allowBlank="1" showInputMessage="1" showErrorMessage="1" sqref="AV67:AV70" xr:uid="{26C83A37-9FAD-4D77-8505-DE25D1343CAA}">
      <formula1>$AK$2:$AK$6</formula1>
    </dataValidation>
    <dataValidation type="list" allowBlank="1" showInputMessage="1" showErrorMessage="1" sqref="AC95" xr:uid="{0D51A8E7-0F55-4960-ACDD-D6CAE92849D8}">
      <formula1>$AF$2:$AF$6</formula1>
    </dataValidation>
    <dataValidation type="list" allowBlank="1" showInputMessage="1" showErrorMessage="1" sqref="E94" xr:uid="{574ABE96-4001-41FA-B22A-BFADBF0D67F9}">
      <formula1>#REF!</formula1>
    </dataValidation>
  </dataValidations>
  <printOptions horizontalCentered="1" verticalCentered="1"/>
  <pageMargins left="0.11811023622047244" right="0.11811023622047244" top="0.11811023622047244" bottom="0.11811023622047244" header="0.11811023622047244" footer="0.11811023622047244"/>
  <pageSetup paperSize="9" scale="65" orientation="portrait" r:id="rId1"/>
  <rowBreaks count="1" manualBreakCount="1">
    <brk id="72" max="16383" man="1"/>
  </rowBreaks>
  <colBreaks count="2" manualBreakCount="2">
    <brk id="14" max="1048575" man="1"/>
    <brk id="37" max="1048575" man="1"/>
  </col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6">
    <tabColor rgb="FF00B050"/>
    <pageSetUpPr fitToPage="1"/>
  </sheetPr>
  <dimension ref="B1:AF91"/>
  <sheetViews>
    <sheetView showGridLines="0" view="pageBreakPreview" zoomScale="115" zoomScaleNormal="100" zoomScaleSheetLayoutView="115" workbookViewId="0">
      <selection activeCell="K17" sqref="K17:L17"/>
    </sheetView>
  </sheetViews>
  <sheetFormatPr baseColWidth="10" defaultColWidth="7.33203125" defaultRowHeight="13.2"/>
  <cols>
    <col min="1" max="1" width="1.33203125" style="26" customWidth="1"/>
    <col min="2" max="2" width="15.6640625" style="26" customWidth="1"/>
    <col min="3" max="3" width="7.33203125" style="26" customWidth="1"/>
    <col min="4" max="4" width="11" style="26" customWidth="1"/>
    <col min="5" max="5" width="8.33203125" style="26" customWidth="1"/>
    <col min="6" max="6" width="8.6640625" style="26" customWidth="1"/>
    <col min="7" max="12" width="10.6640625" style="26" customWidth="1"/>
    <col min="13" max="13" width="6.5546875" style="26" customWidth="1"/>
    <col min="14" max="14" width="15.44140625" style="26" customWidth="1"/>
    <col min="15" max="15" width="5.33203125" style="26" customWidth="1"/>
    <col min="16" max="23" width="7.6640625" style="26" customWidth="1"/>
    <col min="24" max="24" width="9" style="26" customWidth="1"/>
    <col min="25" max="256" width="7.33203125" style="26"/>
    <col min="257" max="257" width="1.33203125" style="26" customWidth="1"/>
    <col min="258" max="258" width="12.109375" style="26" customWidth="1"/>
    <col min="259" max="259" width="1" style="26" customWidth="1"/>
    <col min="260" max="260" width="17" style="26" customWidth="1"/>
    <col min="261" max="261" width="7.6640625" style="26" customWidth="1"/>
    <col min="262" max="262" width="8.44140625" style="26" customWidth="1"/>
    <col min="263" max="264" width="7.6640625" style="26" customWidth="1"/>
    <col min="265" max="266" width="8.44140625" style="26" customWidth="1"/>
    <col min="267" max="267" width="7.6640625" style="26" customWidth="1"/>
    <col min="268" max="268" width="10.5546875" style="26" customWidth="1"/>
    <col min="269" max="269" width="4.6640625" style="26" customWidth="1"/>
    <col min="270" max="270" width="14.109375" style="26" customWidth="1"/>
    <col min="271" max="271" width="2.5546875" style="26" customWidth="1"/>
    <col min="272" max="272" width="7.33203125" style="26"/>
    <col min="273" max="276" width="7.33203125" style="26" customWidth="1"/>
    <col min="277" max="277" width="10.109375" style="26" customWidth="1"/>
    <col min="278" max="278" width="7.33203125" style="26" customWidth="1"/>
    <col min="279" max="279" width="7.33203125" style="26"/>
    <col min="280" max="280" width="9" style="26" customWidth="1"/>
    <col min="281" max="512" width="7.33203125" style="26"/>
    <col min="513" max="513" width="1.33203125" style="26" customWidth="1"/>
    <col min="514" max="514" width="12.109375" style="26" customWidth="1"/>
    <col min="515" max="515" width="1" style="26" customWidth="1"/>
    <col min="516" max="516" width="17" style="26" customWidth="1"/>
    <col min="517" max="517" width="7.6640625" style="26" customWidth="1"/>
    <col min="518" max="518" width="8.44140625" style="26" customWidth="1"/>
    <col min="519" max="520" width="7.6640625" style="26" customWidth="1"/>
    <col min="521" max="522" width="8.44140625" style="26" customWidth="1"/>
    <col min="523" max="523" width="7.6640625" style="26" customWidth="1"/>
    <col min="524" max="524" width="10.5546875" style="26" customWidth="1"/>
    <col min="525" max="525" width="4.6640625" style="26" customWidth="1"/>
    <col min="526" max="526" width="14.109375" style="26" customWidth="1"/>
    <col min="527" max="527" width="2.5546875" style="26" customWidth="1"/>
    <col min="528" max="528" width="7.33203125" style="26"/>
    <col min="529" max="532" width="7.33203125" style="26" customWidth="1"/>
    <col min="533" max="533" width="10.109375" style="26" customWidth="1"/>
    <col min="534" max="534" width="7.33203125" style="26" customWidth="1"/>
    <col min="535" max="535" width="7.33203125" style="26"/>
    <col min="536" max="536" width="9" style="26" customWidth="1"/>
    <col min="537" max="768" width="7.33203125" style="26"/>
    <col min="769" max="769" width="1.33203125" style="26" customWidth="1"/>
    <col min="770" max="770" width="12.109375" style="26" customWidth="1"/>
    <col min="771" max="771" width="1" style="26" customWidth="1"/>
    <col min="772" max="772" width="17" style="26" customWidth="1"/>
    <col min="773" max="773" width="7.6640625" style="26" customWidth="1"/>
    <col min="774" max="774" width="8.44140625" style="26" customWidth="1"/>
    <col min="775" max="776" width="7.6640625" style="26" customWidth="1"/>
    <col min="777" max="778" width="8.44140625" style="26" customWidth="1"/>
    <col min="779" max="779" width="7.6640625" style="26" customWidth="1"/>
    <col min="780" max="780" width="10.5546875" style="26" customWidth="1"/>
    <col min="781" max="781" width="4.6640625" style="26" customWidth="1"/>
    <col min="782" max="782" width="14.109375" style="26" customWidth="1"/>
    <col min="783" max="783" width="2.5546875" style="26" customWidth="1"/>
    <col min="784" max="784" width="7.33203125" style="26"/>
    <col min="785" max="788" width="7.33203125" style="26" customWidth="1"/>
    <col min="789" max="789" width="10.109375" style="26" customWidth="1"/>
    <col min="790" max="790" width="7.33203125" style="26" customWidth="1"/>
    <col min="791" max="791" width="7.33203125" style="26"/>
    <col min="792" max="792" width="9" style="26" customWidth="1"/>
    <col min="793" max="1024" width="7.33203125" style="26"/>
    <col min="1025" max="1025" width="1.33203125" style="26" customWidth="1"/>
    <col min="1026" max="1026" width="12.109375" style="26" customWidth="1"/>
    <col min="1027" max="1027" width="1" style="26" customWidth="1"/>
    <col min="1028" max="1028" width="17" style="26" customWidth="1"/>
    <col min="1029" max="1029" width="7.6640625" style="26" customWidth="1"/>
    <col min="1030" max="1030" width="8.44140625" style="26" customWidth="1"/>
    <col min="1031" max="1032" width="7.6640625" style="26" customWidth="1"/>
    <col min="1033" max="1034" width="8.44140625" style="26" customWidth="1"/>
    <col min="1035" max="1035" width="7.6640625" style="26" customWidth="1"/>
    <col min="1036" max="1036" width="10.5546875" style="26" customWidth="1"/>
    <col min="1037" max="1037" width="4.6640625" style="26" customWidth="1"/>
    <col min="1038" max="1038" width="14.109375" style="26" customWidth="1"/>
    <col min="1039" max="1039" width="2.5546875" style="26" customWidth="1"/>
    <col min="1040" max="1040" width="7.33203125" style="26"/>
    <col min="1041" max="1044" width="7.33203125" style="26" customWidth="1"/>
    <col min="1045" max="1045" width="10.109375" style="26" customWidth="1"/>
    <col min="1046" max="1046" width="7.33203125" style="26" customWidth="1"/>
    <col min="1047" max="1047" width="7.33203125" style="26"/>
    <col min="1048" max="1048" width="9" style="26" customWidth="1"/>
    <col min="1049" max="1280" width="7.33203125" style="26"/>
    <col min="1281" max="1281" width="1.33203125" style="26" customWidth="1"/>
    <col min="1282" max="1282" width="12.109375" style="26" customWidth="1"/>
    <col min="1283" max="1283" width="1" style="26" customWidth="1"/>
    <col min="1284" max="1284" width="17" style="26" customWidth="1"/>
    <col min="1285" max="1285" width="7.6640625" style="26" customWidth="1"/>
    <col min="1286" max="1286" width="8.44140625" style="26" customWidth="1"/>
    <col min="1287" max="1288" width="7.6640625" style="26" customWidth="1"/>
    <col min="1289" max="1290" width="8.44140625" style="26" customWidth="1"/>
    <col min="1291" max="1291" width="7.6640625" style="26" customWidth="1"/>
    <col min="1292" max="1292" width="10.5546875" style="26" customWidth="1"/>
    <col min="1293" max="1293" width="4.6640625" style="26" customWidth="1"/>
    <col min="1294" max="1294" width="14.109375" style="26" customWidth="1"/>
    <col min="1295" max="1295" width="2.5546875" style="26" customWidth="1"/>
    <col min="1296" max="1296" width="7.33203125" style="26"/>
    <col min="1297" max="1300" width="7.33203125" style="26" customWidth="1"/>
    <col min="1301" max="1301" width="10.109375" style="26" customWidth="1"/>
    <col min="1302" max="1302" width="7.33203125" style="26" customWidth="1"/>
    <col min="1303" max="1303" width="7.33203125" style="26"/>
    <col min="1304" max="1304" width="9" style="26" customWidth="1"/>
    <col min="1305" max="1536" width="7.33203125" style="26"/>
    <col min="1537" max="1537" width="1.33203125" style="26" customWidth="1"/>
    <col min="1538" max="1538" width="12.109375" style="26" customWidth="1"/>
    <col min="1539" max="1539" width="1" style="26" customWidth="1"/>
    <col min="1540" max="1540" width="17" style="26" customWidth="1"/>
    <col min="1541" max="1541" width="7.6640625" style="26" customWidth="1"/>
    <col min="1542" max="1542" width="8.44140625" style="26" customWidth="1"/>
    <col min="1543" max="1544" width="7.6640625" style="26" customWidth="1"/>
    <col min="1545" max="1546" width="8.44140625" style="26" customWidth="1"/>
    <col min="1547" max="1547" width="7.6640625" style="26" customWidth="1"/>
    <col min="1548" max="1548" width="10.5546875" style="26" customWidth="1"/>
    <col min="1549" max="1549" width="4.6640625" style="26" customWidth="1"/>
    <col min="1550" max="1550" width="14.109375" style="26" customWidth="1"/>
    <col min="1551" max="1551" width="2.5546875" style="26" customWidth="1"/>
    <col min="1552" max="1552" width="7.33203125" style="26"/>
    <col min="1553" max="1556" width="7.33203125" style="26" customWidth="1"/>
    <col min="1557" max="1557" width="10.109375" style="26" customWidth="1"/>
    <col min="1558" max="1558" width="7.33203125" style="26" customWidth="1"/>
    <col min="1559" max="1559" width="7.33203125" style="26"/>
    <col min="1560" max="1560" width="9" style="26" customWidth="1"/>
    <col min="1561" max="1792" width="7.33203125" style="26"/>
    <col min="1793" max="1793" width="1.33203125" style="26" customWidth="1"/>
    <col min="1794" max="1794" width="12.109375" style="26" customWidth="1"/>
    <col min="1795" max="1795" width="1" style="26" customWidth="1"/>
    <col min="1796" max="1796" width="17" style="26" customWidth="1"/>
    <col min="1797" max="1797" width="7.6640625" style="26" customWidth="1"/>
    <col min="1798" max="1798" width="8.44140625" style="26" customWidth="1"/>
    <col min="1799" max="1800" width="7.6640625" style="26" customWidth="1"/>
    <col min="1801" max="1802" width="8.44140625" style="26" customWidth="1"/>
    <col min="1803" max="1803" width="7.6640625" style="26" customWidth="1"/>
    <col min="1804" max="1804" width="10.5546875" style="26" customWidth="1"/>
    <col min="1805" max="1805" width="4.6640625" style="26" customWidth="1"/>
    <col min="1806" max="1806" width="14.109375" style="26" customWidth="1"/>
    <col min="1807" max="1807" width="2.5546875" style="26" customWidth="1"/>
    <col min="1808" max="1808" width="7.33203125" style="26"/>
    <col min="1809" max="1812" width="7.33203125" style="26" customWidth="1"/>
    <col min="1813" max="1813" width="10.109375" style="26" customWidth="1"/>
    <col min="1814" max="1814" width="7.33203125" style="26" customWidth="1"/>
    <col min="1815" max="1815" width="7.33203125" style="26"/>
    <col min="1816" max="1816" width="9" style="26" customWidth="1"/>
    <col min="1817" max="2048" width="7.33203125" style="26"/>
    <col min="2049" max="2049" width="1.33203125" style="26" customWidth="1"/>
    <col min="2050" max="2050" width="12.109375" style="26" customWidth="1"/>
    <col min="2051" max="2051" width="1" style="26" customWidth="1"/>
    <col min="2052" max="2052" width="17" style="26" customWidth="1"/>
    <col min="2053" max="2053" width="7.6640625" style="26" customWidth="1"/>
    <col min="2054" max="2054" width="8.44140625" style="26" customWidth="1"/>
    <col min="2055" max="2056" width="7.6640625" style="26" customWidth="1"/>
    <col min="2057" max="2058" width="8.44140625" style="26" customWidth="1"/>
    <col min="2059" max="2059" width="7.6640625" style="26" customWidth="1"/>
    <col min="2060" max="2060" width="10.5546875" style="26" customWidth="1"/>
    <col min="2061" max="2061" width="4.6640625" style="26" customWidth="1"/>
    <col min="2062" max="2062" width="14.109375" style="26" customWidth="1"/>
    <col min="2063" max="2063" width="2.5546875" style="26" customWidth="1"/>
    <col min="2064" max="2064" width="7.33203125" style="26"/>
    <col min="2065" max="2068" width="7.33203125" style="26" customWidth="1"/>
    <col min="2069" max="2069" width="10.109375" style="26" customWidth="1"/>
    <col min="2070" max="2070" width="7.33203125" style="26" customWidth="1"/>
    <col min="2071" max="2071" width="7.33203125" style="26"/>
    <col min="2072" max="2072" width="9" style="26" customWidth="1"/>
    <col min="2073" max="2304" width="7.33203125" style="26"/>
    <col min="2305" max="2305" width="1.33203125" style="26" customWidth="1"/>
    <col min="2306" max="2306" width="12.109375" style="26" customWidth="1"/>
    <col min="2307" max="2307" width="1" style="26" customWidth="1"/>
    <col min="2308" max="2308" width="17" style="26" customWidth="1"/>
    <col min="2309" max="2309" width="7.6640625" style="26" customWidth="1"/>
    <col min="2310" max="2310" width="8.44140625" style="26" customWidth="1"/>
    <col min="2311" max="2312" width="7.6640625" style="26" customWidth="1"/>
    <col min="2313" max="2314" width="8.44140625" style="26" customWidth="1"/>
    <col min="2315" max="2315" width="7.6640625" style="26" customWidth="1"/>
    <col min="2316" max="2316" width="10.5546875" style="26" customWidth="1"/>
    <col min="2317" max="2317" width="4.6640625" style="26" customWidth="1"/>
    <col min="2318" max="2318" width="14.109375" style="26" customWidth="1"/>
    <col min="2319" max="2319" width="2.5546875" style="26" customWidth="1"/>
    <col min="2320" max="2320" width="7.33203125" style="26"/>
    <col min="2321" max="2324" width="7.33203125" style="26" customWidth="1"/>
    <col min="2325" max="2325" width="10.109375" style="26" customWidth="1"/>
    <col min="2326" max="2326" width="7.33203125" style="26" customWidth="1"/>
    <col min="2327" max="2327" width="7.33203125" style="26"/>
    <col min="2328" max="2328" width="9" style="26" customWidth="1"/>
    <col min="2329" max="2560" width="7.33203125" style="26"/>
    <col min="2561" max="2561" width="1.33203125" style="26" customWidth="1"/>
    <col min="2562" max="2562" width="12.109375" style="26" customWidth="1"/>
    <col min="2563" max="2563" width="1" style="26" customWidth="1"/>
    <col min="2564" max="2564" width="17" style="26" customWidth="1"/>
    <col min="2565" max="2565" width="7.6640625" style="26" customWidth="1"/>
    <col min="2566" max="2566" width="8.44140625" style="26" customWidth="1"/>
    <col min="2567" max="2568" width="7.6640625" style="26" customWidth="1"/>
    <col min="2569" max="2570" width="8.44140625" style="26" customWidth="1"/>
    <col min="2571" max="2571" width="7.6640625" style="26" customWidth="1"/>
    <col min="2572" max="2572" width="10.5546875" style="26" customWidth="1"/>
    <col min="2573" max="2573" width="4.6640625" style="26" customWidth="1"/>
    <col min="2574" max="2574" width="14.109375" style="26" customWidth="1"/>
    <col min="2575" max="2575" width="2.5546875" style="26" customWidth="1"/>
    <col min="2576" max="2576" width="7.33203125" style="26"/>
    <col min="2577" max="2580" width="7.33203125" style="26" customWidth="1"/>
    <col min="2581" max="2581" width="10.109375" style="26" customWidth="1"/>
    <col min="2582" max="2582" width="7.33203125" style="26" customWidth="1"/>
    <col min="2583" max="2583" width="7.33203125" style="26"/>
    <col min="2584" max="2584" width="9" style="26" customWidth="1"/>
    <col min="2585" max="2816" width="7.33203125" style="26"/>
    <col min="2817" max="2817" width="1.33203125" style="26" customWidth="1"/>
    <col min="2818" max="2818" width="12.109375" style="26" customWidth="1"/>
    <col min="2819" max="2819" width="1" style="26" customWidth="1"/>
    <col min="2820" max="2820" width="17" style="26" customWidth="1"/>
    <col min="2821" max="2821" width="7.6640625" style="26" customWidth="1"/>
    <col min="2822" max="2822" width="8.44140625" style="26" customWidth="1"/>
    <col min="2823" max="2824" width="7.6640625" style="26" customWidth="1"/>
    <col min="2825" max="2826" width="8.44140625" style="26" customWidth="1"/>
    <col min="2827" max="2827" width="7.6640625" style="26" customWidth="1"/>
    <col min="2828" max="2828" width="10.5546875" style="26" customWidth="1"/>
    <col min="2829" max="2829" width="4.6640625" style="26" customWidth="1"/>
    <col min="2830" max="2830" width="14.109375" style="26" customWidth="1"/>
    <col min="2831" max="2831" width="2.5546875" style="26" customWidth="1"/>
    <col min="2832" max="2832" width="7.33203125" style="26"/>
    <col min="2833" max="2836" width="7.33203125" style="26" customWidth="1"/>
    <col min="2837" max="2837" width="10.109375" style="26" customWidth="1"/>
    <col min="2838" max="2838" width="7.33203125" style="26" customWidth="1"/>
    <col min="2839" max="2839" width="7.33203125" style="26"/>
    <col min="2840" max="2840" width="9" style="26" customWidth="1"/>
    <col min="2841" max="3072" width="7.33203125" style="26"/>
    <col min="3073" max="3073" width="1.33203125" style="26" customWidth="1"/>
    <col min="3074" max="3074" width="12.109375" style="26" customWidth="1"/>
    <col min="3075" max="3075" width="1" style="26" customWidth="1"/>
    <col min="3076" max="3076" width="17" style="26" customWidth="1"/>
    <col min="3077" max="3077" width="7.6640625" style="26" customWidth="1"/>
    <col min="3078" max="3078" width="8.44140625" style="26" customWidth="1"/>
    <col min="3079" max="3080" width="7.6640625" style="26" customWidth="1"/>
    <col min="3081" max="3082" width="8.44140625" style="26" customWidth="1"/>
    <col min="3083" max="3083" width="7.6640625" style="26" customWidth="1"/>
    <col min="3084" max="3084" width="10.5546875" style="26" customWidth="1"/>
    <col min="3085" max="3085" width="4.6640625" style="26" customWidth="1"/>
    <col min="3086" max="3086" width="14.109375" style="26" customWidth="1"/>
    <col min="3087" max="3087" width="2.5546875" style="26" customWidth="1"/>
    <col min="3088" max="3088" width="7.33203125" style="26"/>
    <col min="3089" max="3092" width="7.33203125" style="26" customWidth="1"/>
    <col min="3093" max="3093" width="10.109375" style="26" customWidth="1"/>
    <col min="3094" max="3094" width="7.33203125" style="26" customWidth="1"/>
    <col min="3095" max="3095" width="7.33203125" style="26"/>
    <col min="3096" max="3096" width="9" style="26" customWidth="1"/>
    <col min="3097" max="3328" width="7.33203125" style="26"/>
    <col min="3329" max="3329" width="1.33203125" style="26" customWidth="1"/>
    <col min="3330" max="3330" width="12.109375" style="26" customWidth="1"/>
    <col min="3331" max="3331" width="1" style="26" customWidth="1"/>
    <col min="3332" max="3332" width="17" style="26" customWidth="1"/>
    <col min="3333" max="3333" width="7.6640625" style="26" customWidth="1"/>
    <col min="3334" max="3334" width="8.44140625" style="26" customWidth="1"/>
    <col min="3335" max="3336" width="7.6640625" style="26" customWidth="1"/>
    <col min="3337" max="3338" width="8.44140625" style="26" customWidth="1"/>
    <col min="3339" max="3339" width="7.6640625" style="26" customWidth="1"/>
    <col min="3340" max="3340" width="10.5546875" style="26" customWidth="1"/>
    <col min="3341" max="3341" width="4.6640625" style="26" customWidth="1"/>
    <col min="3342" max="3342" width="14.109375" style="26" customWidth="1"/>
    <col min="3343" max="3343" width="2.5546875" style="26" customWidth="1"/>
    <col min="3344" max="3344" width="7.33203125" style="26"/>
    <col min="3345" max="3348" width="7.33203125" style="26" customWidth="1"/>
    <col min="3349" max="3349" width="10.109375" style="26" customWidth="1"/>
    <col min="3350" max="3350" width="7.33203125" style="26" customWidth="1"/>
    <col min="3351" max="3351" width="7.33203125" style="26"/>
    <col min="3352" max="3352" width="9" style="26" customWidth="1"/>
    <col min="3353" max="3584" width="7.33203125" style="26"/>
    <col min="3585" max="3585" width="1.33203125" style="26" customWidth="1"/>
    <col min="3586" max="3586" width="12.109375" style="26" customWidth="1"/>
    <col min="3587" max="3587" width="1" style="26" customWidth="1"/>
    <col min="3588" max="3588" width="17" style="26" customWidth="1"/>
    <col min="3589" max="3589" width="7.6640625" style="26" customWidth="1"/>
    <col min="3590" max="3590" width="8.44140625" style="26" customWidth="1"/>
    <col min="3591" max="3592" width="7.6640625" style="26" customWidth="1"/>
    <col min="3593" max="3594" width="8.44140625" style="26" customWidth="1"/>
    <col min="3595" max="3595" width="7.6640625" style="26" customWidth="1"/>
    <col min="3596" max="3596" width="10.5546875" style="26" customWidth="1"/>
    <col min="3597" max="3597" width="4.6640625" style="26" customWidth="1"/>
    <col min="3598" max="3598" width="14.109375" style="26" customWidth="1"/>
    <col min="3599" max="3599" width="2.5546875" style="26" customWidth="1"/>
    <col min="3600" max="3600" width="7.33203125" style="26"/>
    <col min="3601" max="3604" width="7.33203125" style="26" customWidth="1"/>
    <col min="3605" max="3605" width="10.109375" style="26" customWidth="1"/>
    <col min="3606" max="3606" width="7.33203125" style="26" customWidth="1"/>
    <col min="3607" max="3607" width="7.33203125" style="26"/>
    <col min="3608" max="3608" width="9" style="26" customWidth="1"/>
    <col min="3609" max="3840" width="7.33203125" style="26"/>
    <col min="3841" max="3841" width="1.33203125" style="26" customWidth="1"/>
    <col min="3842" max="3842" width="12.109375" style="26" customWidth="1"/>
    <col min="3843" max="3843" width="1" style="26" customWidth="1"/>
    <col min="3844" max="3844" width="17" style="26" customWidth="1"/>
    <col min="3845" max="3845" width="7.6640625" style="26" customWidth="1"/>
    <col min="3846" max="3846" width="8.44140625" style="26" customWidth="1"/>
    <col min="3847" max="3848" width="7.6640625" style="26" customWidth="1"/>
    <col min="3849" max="3850" width="8.44140625" style="26" customWidth="1"/>
    <col min="3851" max="3851" width="7.6640625" style="26" customWidth="1"/>
    <col min="3852" max="3852" width="10.5546875" style="26" customWidth="1"/>
    <col min="3853" max="3853" width="4.6640625" style="26" customWidth="1"/>
    <col min="3854" max="3854" width="14.109375" style="26" customWidth="1"/>
    <col min="3855" max="3855" width="2.5546875" style="26" customWidth="1"/>
    <col min="3856" max="3856" width="7.33203125" style="26"/>
    <col min="3857" max="3860" width="7.33203125" style="26" customWidth="1"/>
    <col min="3861" max="3861" width="10.109375" style="26" customWidth="1"/>
    <col min="3862" max="3862" width="7.33203125" style="26" customWidth="1"/>
    <col min="3863" max="3863" width="7.33203125" style="26"/>
    <col min="3864" max="3864" width="9" style="26" customWidth="1"/>
    <col min="3865" max="4096" width="7.33203125" style="26"/>
    <col min="4097" max="4097" width="1.33203125" style="26" customWidth="1"/>
    <col min="4098" max="4098" width="12.109375" style="26" customWidth="1"/>
    <col min="4099" max="4099" width="1" style="26" customWidth="1"/>
    <col min="4100" max="4100" width="17" style="26" customWidth="1"/>
    <col min="4101" max="4101" width="7.6640625" style="26" customWidth="1"/>
    <col min="4102" max="4102" width="8.44140625" style="26" customWidth="1"/>
    <col min="4103" max="4104" width="7.6640625" style="26" customWidth="1"/>
    <col min="4105" max="4106" width="8.44140625" style="26" customWidth="1"/>
    <col min="4107" max="4107" width="7.6640625" style="26" customWidth="1"/>
    <col min="4108" max="4108" width="10.5546875" style="26" customWidth="1"/>
    <col min="4109" max="4109" width="4.6640625" style="26" customWidth="1"/>
    <col min="4110" max="4110" width="14.109375" style="26" customWidth="1"/>
    <col min="4111" max="4111" width="2.5546875" style="26" customWidth="1"/>
    <col min="4112" max="4112" width="7.33203125" style="26"/>
    <col min="4113" max="4116" width="7.33203125" style="26" customWidth="1"/>
    <col min="4117" max="4117" width="10.109375" style="26" customWidth="1"/>
    <col min="4118" max="4118" width="7.33203125" style="26" customWidth="1"/>
    <col min="4119" max="4119" width="7.33203125" style="26"/>
    <col min="4120" max="4120" width="9" style="26" customWidth="1"/>
    <col min="4121" max="4352" width="7.33203125" style="26"/>
    <col min="4353" max="4353" width="1.33203125" style="26" customWidth="1"/>
    <col min="4354" max="4354" width="12.109375" style="26" customWidth="1"/>
    <col min="4355" max="4355" width="1" style="26" customWidth="1"/>
    <col min="4356" max="4356" width="17" style="26" customWidth="1"/>
    <col min="4357" max="4357" width="7.6640625" style="26" customWidth="1"/>
    <col min="4358" max="4358" width="8.44140625" style="26" customWidth="1"/>
    <col min="4359" max="4360" width="7.6640625" style="26" customWidth="1"/>
    <col min="4361" max="4362" width="8.44140625" style="26" customWidth="1"/>
    <col min="4363" max="4363" width="7.6640625" style="26" customWidth="1"/>
    <col min="4364" max="4364" width="10.5546875" style="26" customWidth="1"/>
    <col min="4365" max="4365" width="4.6640625" style="26" customWidth="1"/>
    <col min="4366" max="4366" width="14.109375" style="26" customWidth="1"/>
    <col min="4367" max="4367" width="2.5546875" style="26" customWidth="1"/>
    <col min="4368" max="4368" width="7.33203125" style="26"/>
    <col min="4369" max="4372" width="7.33203125" style="26" customWidth="1"/>
    <col min="4373" max="4373" width="10.109375" style="26" customWidth="1"/>
    <col min="4374" max="4374" width="7.33203125" style="26" customWidth="1"/>
    <col min="4375" max="4375" width="7.33203125" style="26"/>
    <col min="4376" max="4376" width="9" style="26" customWidth="1"/>
    <col min="4377" max="4608" width="7.33203125" style="26"/>
    <col min="4609" max="4609" width="1.33203125" style="26" customWidth="1"/>
    <col min="4610" max="4610" width="12.109375" style="26" customWidth="1"/>
    <col min="4611" max="4611" width="1" style="26" customWidth="1"/>
    <col min="4612" max="4612" width="17" style="26" customWidth="1"/>
    <col min="4613" max="4613" width="7.6640625" style="26" customWidth="1"/>
    <col min="4614" max="4614" width="8.44140625" style="26" customWidth="1"/>
    <col min="4615" max="4616" width="7.6640625" style="26" customWidth="1"/>
    <col min="4617" max="4618" width="8.44140625" style="26" customWidth="1"/>
    <col min="4619" max="4619" width="7.6640625" style="26" customWidth="1"/>
    <col min="4620" max="4620" width="10.5546875" style="26" customWidth="1"/>
    <col min="4621" max="4621" width="4.6640625" style="26" customWidth="1"/>
    <col min="4622" max="4622" width="14.109375" style="26" customWidth="1"/>
    <col min="4623" max="4623" width="2.5546875" style="26" customWidth="1"/>
    <col min="4624" max="4624" width="7.33203125" style="26"/>
    <col min="4625" max="4628" width="7.33203125" style="26" customWidth="1"/>
    <col min="4629" max="4629" width="10.109375" style="26" customWidth="1"/>
    <col min="4630" max="4630" width="7.33203125" style="26" customWidth="1"/>
    <col min="4631" max="4631" width="7.33203125" style="26"/>
    <col min="4632" max="4632" width="9" style="26" customWidth="1"/>
    <col min="4633" max="4864" width="7.33203125" style="26"/>
    <col min="4865" max="4865" width="1.33203125" style="26" customWidth="1"/>
    <col min="4866" max="4866" width="12.109375" style="26" customWidth="1"/>
    <col min="4867" max="4867" width="1" style="26" customWidth="1"/>
    <col min="4868" max="4868" width="17" style="26" customWidth="1"/>
    <col min="4869" max="4869" width="7.6640625" style="26" customWidth="1"/>
    <col min="4870" max="4870" width="8.44140625" style="26" customWidth="1"/>
    <col min="4871" max="4872" width="7.6640625" style="26" customWidth="1"/>
    <col min="4873" max="4874" width="8.44140625" style="26" customWidth="1"/>
    <col min="4875" max="4875" width="7.6640625" style="26" customWidth="1"/>
    <col min="4876" max="4876" width="10.5546875" style="26" customWidth="1"/>
    <col min="4877" max="4877" width="4.6640625" style="26" customWidth="1"/>
    <col min="4878" max="4878" width="14.109375" style="26" customWidth="1"/>
    <col min="4879" max="4879" width="2.5546875" style="26" customWidth="1"/>
    <col min="4880" max="4880" width="7.33203125" style="26"/>
    <col min="4881" max="4884" width="7.33203125" style="26" customWidth="1"/>
    <col min="4885" max="4885" width="10.109375" style="26" customWidth="1"/>
    <col min="4886" max="4886" width="7.33203125" style="26" customWidth="1"/>
    <col min="4887" max="4887" width="7.33203125" style="26"/>
    <col min="4888" max="4888" width="9" style="26" customWidth="1"/>
    <col min="4889" max="5120" width="7.33203125" style="26"/>
    <col min="5121" max="5121" width="1.33203125" style="26" customWidth="1"/>
    <col min="5122" max="5122" width="12.109375" style="26" customWidth="1"/>
    <col min="5123" max="5123" width="1" style="26" customWidth="1"/>
    <col min="5124" max="5124" width="17" style="26" customWidth="1"/>
    <col min="5125" max="5125" width="7.6640625" style="26" customWidth="1"/>
    <col min="5126" max="5126" width="8.44140625" style="26" customWidth="1"/>
    <col min="5127" max="5128" width="7.6640625" style="26" customWidth="1"/>
    <col min="5129" max="5130" width="8.44140625" style="26" customWidth="1"/>
    <col min="5131" max="5131" width="7.6640625" style="26" customWidth="1"/>
    <col min="5132" max="5132" width="10.5546875" style="26" customWidth="1"/>
    <col min="5133" max="5133" width="4.6640625" style="26" customWidth="1"/>
    <col min="5134" max="5134" width="14.109375" style="26" customWidth="1"/>
    <col min="5135" max="5135" width="2.5546875" style="26" customWidth="1"/>
    <col min="5136" max="5136" width="7.33203125" style="26"/>
    <col min="5137" max="5140" width="7.33203125" style="26" customWidth="1"/>
    <col min="5141" max="5141" width="10.109375" style="26" customWidth="1"/>
    <col min="5142" max="5142" width="7.33203125" style="26" customWidth="1"/>
    <col min="5143" max="5143" width="7.33203125" style="26"/>
    <col min="5144" max="5144" width="9" style="26" customWidth="1"/>
    <col min="5145" max="5376" width="7.33203125" style="26"/>
    <col min="5377" max="5377" width="1.33203125" style="26" customWidth="1"/>
    <col min="5378" max="5378" width="12.109375" style="26" customWidth="1"/>
    <col min="5379" max="5379" width="1" style="26" customWidth="1"/>
    <col min="5380" max="5380" width="17" style="26" customWidth="1"/>
    <col min="5381" max="5381" width="7.6640625" style="26" customWidth="1"/>
    <col min="5382" max="5382" width="8.44140625" style="26" customWidth="1"/>
    <col min="5383" max="5384" width="7.6640625" style="26" customWidth="1"/>
    <col min="5385" max="5386" width="8.44140625" style="26" customWidth="1"/>
    <col min="5387" max="5387" width="7.6640625" style="26" customWidth="1"/>
    <col min="5388" max="5388" width="10.5546875" style="26" customWidth="1"/>
    <col min="5389" max="5389" width="4.6640625" style="26" customWidth="1"/>
    <col min="5390" max="5390" width="14.109375" style="26" customWidth="1"/>
    <col min="5391" max="5391" width="2.5546875" style="26" customWidth="1"/>
    <col min="5392" max="5392" width="7.33203125" style="26"/>
    <col min="5393" max="5396" width="7.33203125" style="26" customWidth="1"/>
    <col min="5397" max="5397" width="10.109375" style="26" customWidth="1"/>
    <col min="5398" max="5398" width="7.33203125" style="26" customWidth="1"/>
    <col min="5399" max="5399" width="7.33203125" style="26"/>
    <col min="5400" max="5400" width="9" style="26" customWidth="1"/>
    <col min="5401" max="5632" width="7.33203125" style="26"/>
    <col min="5633" max="5633" width="1.33203125" style="26" customWidth="1"/>
    <col min="5634" max="5634" width="12.109375" style="26" customWidth="1"/>
    <col min="5635" max="5635" width="1" style="26" customWidth="1"/>
    <col min="5636" max="5636" width="17" style="26" customWidth="1"/>
    <col min="5637" max="5637" width="7.6640625" style="26" customWidth="1"/>
    <col min="5638" max="5638" width="8.44140625" style="26" customWidth="1"/>
    <col min="5639" max="5640" width="7.6640625" style="26" customWidth="1"/>
    <col min="5641" max="5642" width="8.44140625" style="26" customWidth="1"/>
    <col min="5643" max="5643" width="7.6640625" style="26" customWidth="1"/>
    <col min="5644" max="5644" width="10.5546875" style="26" customWidth="1"/>
    <col min="5645" max="5645" width="4.6640625" style="26" customWidth="1"/>
    <col min="5646" max="5646" width="14.109375" style="26" customWidth="1"/>
    <col min="5647" max="5647" width="2.5546875" style="26" customWidth="1"/>
    <col min="5648" max="5648" width="7.33203125" style="26"/>
    <col min="5649" max="5652" width="7.33203125" style="26" customWidth="1"/>
    <col min="5653" max="5653" width="10.109375" style="26" customWidth="1"/>
    <col min="5654" max="5654" width="7.33203125" style="26" customWidth="1"/>
    <col min="5655" max="5655" width="7.33203125" style="26"/>
    <col min="5656" max="5656" width="9" style="26" customWidth="1"/>
    <col min="5657" max="5888" width="7.33203125" style="26"/>
    <col min="5889" max="5889" width="1.33203125" style="26" customWidth="1"/>
    <col min="5890" max="5890" width="12.109375" style="26" customWidth="1"/>
    <col min="5891" max="5891" width="1" style="26" customWidth="1"/>
    <col min="5892" max="5892" width="17" style="26" customWidth="1"/>
    <col min="5893" max="5893" width="7.6640625" style="26" customWidth="1"/>
    <col min="5894" max="5894" width="8.44140625" style="26" customWidth="1"/>
    <col min="5895" max="5896" width="7.6640625" style="26" customWidth="1"/>
    <col min="5897" max="5898" width="8.44140625" style="26" customWidth="1"/>
    <col min="5899" max="5899" width="7.6640625" style="26" customWidth="1"/>
    <col min="5900" max="5900" width="10.5546875" style="26" customWidth="1"/>
    <col min="5901" max="5901" width="4.6640625" style="26" customWidth="1"/>
    <col min="5902" max="5902" width="14.109375" style="26" customWidth="1"/>
    <col min="5903" max="5903" width="2.5546875" style="26" customWidth="1"/>
    <col min="5904" max="5904" width="7.33203125" style="26"/>
    <col min="5905" max="5908" width="7.33203125" style="26" customWidth="1"/>
    <col min="5909" max="5909" width="10.109375" style="26" customWidth="1"/>
    <col min="5910" max="5910" width="7.33203125" style="26" customWidth="1"/>
    <col min="5911" max="5911" width="7.33203125" style="26"/>
    <col min="5912" max="5912" width="9" style="26" customWidth="1"/>
    <col min="5913" max="6144" width="7.33203125" style="26"/>
    <col min="6145" max="6145" width="1.33203125" style="26" customWidth="1"/>
    <col min="6146" max="6146" width="12.109375" style="26" customWidth="1"/>
    <col min="6147" max="6147" width="1" style="26" customWidth="1"/>
    <col min="6148" max="6148" width="17" style="26" customWidth="1"/>
    <col min="6149" max="6149" width="7.6640625" style="26" customWidth="1"/>
    <col min="6150" max="6150" width="8.44140625" style="26" customWidth="1"/>
    <col min="6151" max="6152" width="7.6640625" style="26" customWidth="1"/>
    <col min="6153" max="6154" width="8.44140625" style="26" customWidth="1"/>
    <col min="6155" max="6155" width="7.6640625" style="26" customWidth="1"/>
    <col min="6156" max="6156" width="10.5546875" style="26" customWidth="1"/>
    <col min="6157" max="6157" width="4.6640625" style="26" customWidth="1"/>
    <col min="6158" max="6158" width="14.109375" style="26" customWidth="1"/>
    <col min="6159" max="6159" width="2.5546875" style="26" customWidth="1"/>
    <col min="6160" max="6160" width="7.33203125" style="26"/>
    <col min="6161" max="6164" width="7.33203125" style="26" customWidth="1"/>
    <col min="6165" max="6165" width="10.109375" style="26" customWidth="1"/>
    <col min="6166" max="6166" width="7.33203125" style="26" customWidth="1"/>
    <col min="6167" max="6167" width="7.33203125" style="26"/>
    <col min="6168" max="6168" width="9" style="26" customWidth="1"/>
    <col min="6169" max="6400" width="7.33203125" style="26"/>
    <col min="6401" max="6401" width="1.33203125" style="26" customWidth="1"/>
    <col min="6402" max="6402" width="12.109375" style="26" customWidth="1"/>
    <col min="6403" max="6403" width="1" style="26" customWidth="1"/>
    <col min="6404" max="6404" width="17" style="26" customWidth="1"/>
    <col min="6405" max="6405" width="7.6640625" style="26" customWidth="1"/>
    <col min="6406" max="6406" width="8.44140625" style="26" customWidth="1"/>
    <col min="6407" max="6408" width="7.6640625" style="26" customWidth="1"/>
    <col min="6409" max="6410" width="8.44140625" style="26" customWidth="1"/>
    <col min="6411" max="6411" width="7.6640625" style="26" customWidth="1"/>
    <col min="6412" max="6412" width="10.5546875" style="26" customWidth="1"/>
    <col min="6413" max="6413" width="4.6640625" style="26" customWidth="1"/>
    <col min="6414" max="6414" width="14.109375" style="26" customWidth="1"/>
    <col min="6415" max="6415" width="2.5546875" style="26" customWidth="1"/>
    <col min="6416" max="6416" width="7.33203125" style="26"/>
    <col min="6417" max="6420" width="7.33203125" style="26" customWidth="1"/>
    <col min="6421" max="6421" width="10.109375" style="26" customWidth="1"/>
    <col min="6422" max="6422" width="7.33203125" style="26" customWidth="1"/>
    <col min="6423" max="6423" width="7.33203125" style="26"/>
    <col min="6424" max="6424" width="9" style="26" customWidth="1"/>
    <col min="6425" max="6656" width="7.33203125" style="26"/>
    <col min="6657" max="6657" width="1.33203125" style="26" customWidth="1"/>
    <col min="6658" max="6658" width="12.109375" style="26" customWidth="1"/>
    <col min="6659" max="6659" width="1" style="26" customWidth="1"/>
    <col min="6660" max="6660" width="17" style="26" customWidth="1"/>
    <col min="6661" max="6661" width="7.6640625" style="26" customWidth="1"/>
    <col min="6662" max="6662" width="8.44140625" style="26" customWidth="1"/>
    <col min="6663" max="6664" width="7.6640625" style="26" customWidth="1"/>
    <col min="6665" max="6666" width="8.44140625" style="26" customWidth="1"/>
    <col min="6667" max="6667" width="7.6640625" style="26" customWidth="1"/>
    <col min="6668" max="6668" width="10.5546875" style="26" customWidth="1"/>
    <col min="6669" max="6669" width="4.6640625" style="26" customWidth="1"/>
    <col min="6670" max="6670" width="14.109375" style="26" customWidth="1"/>
    <col min="6671" max="6671" width="2.5546875" style="26" customWidth="1"/>
    <col min="6672" max="6672" width="7.33203125" style="26"/>
    <col min="6673" max="6676" width="7.33203125" style="26" customWidth="1"/>
    <col min="6677" max="6677" width="10.109375" style="26" customWidth="1"/>
    <col min="6678" max="6678" width="7.33203125" style="26" customWidth="1"/>
    <col min="6679" max="6679" width="7.33203125" style="26"/>
    <col min="6680" max="6680" width="9" style="26" customWidth="1"/>
    <col min="6681" max="6912" width="7.33203125" style="26"/>
    <col min="6913" max="6913" width="1.33203125" style="26" customWidth="1"/>
    <col min="6914" max="6914" width="12.109375" style="26" customWidth="1"/>
    <col min="6915" max="6915" width="1" style="26" customWidth="1"/>
    <col min="6916" max="6916" width="17" style="26" customWidth="1"/>
    <col min="6917" max="6917" width="7.6640625" style="26" customWidth="1"/>
    <col min="6918" max="6918" width="8.44140625" style="26" customWidth="1"/>
    <col min="6919" max="6920" width="7.6640625" style="26" customWidth="1"/>
    <col min="6921" max="6922" width="8.44140625" style="26" customWidth="1"/>
    <col min="6923" max="6923" width="7.6640625" style="26" customWidth="1"/>
    <col min="6924" max="6924" width="10.5546875" style="26" customWidth="1"/>
    <col min="6925" max="6925" width="4.6640625" style="26" customWidth="1"/>
    <col min="6926" max="6926" width="14.109375" style="26" customWidth="1"/>
    <col min="6927" max="6927" width="2.5546875" style="26" customWidth="1"/>
    <col min="6928" max="6928" width="7.33203125" style="26"/>
    <col min="6929" max="6932" width="7.33203125" style="26" customWidth="1"/>
    <col min="6933" max="6933" width="10.109375" style="26" customWidth="1"/>
    <col min="6934" max="6934" width="7.33203125" style="26" customWidth="1"/>
    <col min="6935" max="6935" width="7.33203125" style="26"/>
    <col min="6936" max="6936" width="9" style="26" customWidth="1"/>
    <col min="6937" max="7168" width="7.33203125" style="26"/>
    <col min="7169" max="7169" width="1.33203125" style="26" customWidth="1"/>
    <col min="7170" max="7170" width="12.109375" style="26" customWidth="1"/>
    <col min="7171" max="7171" width="1" style="26" customWidth="1"/>
    <col min="7172" max="7172" width="17" style="26" customWidth="1"/>
    <col min="7173" max="7173" width="7.6640625" style="26" customWidth="1"/>
    <col min="7174" max="7174" width="8.44140625" style="26" customWidth="1"/>
    <col min="7175" max="7176" width="7.6640625" style="26" customWidth="1"/>
    <col min="7177" max="7178" width="8.44140625" style="26" customWidth="1"/>
    <col min="7179" max="7179" width="7.6640625" style="26" customWidth="1"/>
    <col min="7180" max="7180" width="10.5546875" style="26" customWidth="1"/>
    <col min="7181" max="7181" width="4.6640625" style="26" customWidth="1"/>
    <col min="7182" max="7182" width="14.109375" style="26" customWidth="1"/>
    <col min="7183" max="7183" width="2.5546875" style="26" customWidth="1"/>
    <col min="7184" max="7184" width="7.33203125" style="26"/>
    <col min="7185" max="7188" width="7.33203125" style="26" customWidth="1"/>
    <col min="7189" max="7189" width="10.109375" style="26" customWidth="1"/>
    <col min="7190" max="7190" width="7.33203125" style="26" customWidth="1"/>
    <col min="7191" max="7191" width="7.33203125" style="26"/>
    <col min="7192" max="7192" width="9" style="26" customWidth="1"/>
    <col min="7193" max="7424" width="7.33203125" style="26"/>
    <col min="7425" max="7425" width="1.33203125" style="26" customWidth="1"/>
    <col min="7426" max="7426" width="12.109375" style="26" customWidth="1"/>
    <col min="7427" max="7427" width="1" style="26" customWidth="1"/>
    <col min="7428" max="7428" width="17" style="26" customWidth="1"/>
    <col min="7429" max="7429" width="7.6640625" style="26" customWidth="1"/>
    <col min="7430" max="7430" width="8.44140625" style="26" customWidth="1"/>
    <col min="7431" max="7432" width="7.6640625" style="26" customWidth="1"/>
    <col min="7433" max="7434" width="8.44140625" style="26" customWidth="1"/>
    <col min="7435" max="7435" width="7.6640625" style="26" customWidth="1"/>
    <col min="7436" max="7436" width="10.5546875" style="26" customWidth="1"/>
    <col min="7437" max="7437" width="4.6640625" style="26" customWidth="1"/>
    <col min="7438" max="7438" width="14.109375" style="26" customWidth="1"/>
    <col min="7439" max="7439" width="2.5546875" style="26" customWidth="1"/>
    <col min="7440" max="7440" width="7.33203125" style="26"/>
    <col min="7441" max="7444" width="7.33203125" style="26" customWidth="1"/>
    <col min="7445" max="7445" width="10.109375" style="26" customWidth="1"/>
    <col min="7446" max="7446" width="7.33203125" style="26" customWidth="1"/>
    <col min="7447" max="7447" width="7.33203125" style="26"/>
    <col min="7448" max="7448" width="9" style="26" customWidth="1"/>
    <col min="7449" max="7680" width="7.33203125" style="26"/>
    <col min="7681" max="7681" width="1.33203125" style="26" customWidth="1"/>
    <col min="7682" max="7682" width="12.109375" style="26" customWidth="1"/>
    <col min="7683" max="7683" width="1" style="26" customWidth="1"/>
    <col min="7684" max="7684" width="17" style="26" customWidth="1"/>
    <col min="7685" max="7685" width="7.6640625" style="26" customWidth="1"/>
    <col min="7686" max="7686" width="8.44140625" style="26" customWidth="1"/>
    <col min="7687" max="7688" width="7.6640625" style="26" customWidth="1"/>
    <col min="7689" max="7690" width="8.44140625" style="26" customWidth="1"/>
    <col min="7691" max="7691" width="7.6640625" style="26" customWidth="1"/>
    <col min="7692" max="7692" width="10.5546875" style="26" customWidth="1"/>
    <col min="7693" max="7693" width="4.6640625" style="26" customWidth="1"/>
    <col min="7694" max="7694" width="14.109375" style="26" customWidth="1"/>
    <col min="7695" max="7695" width="2.5546875" style="26" customWidth="1"/>
    <col min="7696" max="7696" width="7.33203125" style="26"/>
    <col min="7697" max="7700" width="7.33203125" style="26" customWidth="1"/>
    <col min="7701" max="7701" width="10.109375" style="26" customWidth="1"/>
    <col min="7702" max="7702" width="7.33203125" style="26" customWidth="1"/>
    <col min="7703" max="7703" width="7.33203125" style="26"/>
    <col min="7704" max="7704" width="9" style="26" customWidth="1"/>
    <col min="7705" max="7936" width="7.33203125" style="26"/>
    <col min="7937" max="7937" width="1.33203125" style="26" customWidth="1"/>
    <col min="7938" max="7938" width="12.109375" style="26" customWidth="1"/>
    <col min="7939" max="7939" width="1" style="26" customWidth="1"/>
    <col min="7940" max="7940" width="17" style="26" customWidth="1"/>
    <col min="7941" max="7941" width="7.6640625" style="26" customWidth="1"/>
    <col min="7942" max="7942" width="8.44140625" style="26" customWidth="1"/>
    <col min="7943" max="7944" width="7.6640625" style="26" customWidth="1"/>
    <col min="7945" max="7946" width="8.44140625" style="26" customWidth="1"/>
    <col min="7947" max="7947" width="7.6640625" style="26" customWidth="1"/>
    <col min="7948" max="7948" width="10.5546875" style="26" customWidth="1"/>
    <col min="7949" max="7949" width="4.6640625" style="26" customWidth="1"/>
    <col min="7950" max="7950" width="14.109375" style="26" customWidth="1"/>
    <col min="7951" max="7951" width="2.5546875" style="26" customWidth="1"/>
    <col min="7952" max="7952" width="7.33203125" style="26"/>
    <col min="7953" max="7956" width="7.33203125" style="26" customWidth="1"/>
    <col min="7957" max="7957" width="10.109375" style="26" customWidth="1"/>
    <col min="7958" max="7958" width="7.33203125" style="26" customWidth="1"/>
    <col min="7959" max="7959" width="7.33203125" style="26"/>
    <col min="7960" max="7960" width="9" style="26" customWidth="1"/>
    <col min="7961" max="8192" width="7.33203125" style="26"/>
    <col min="8193" max="8193" width="1.33203125" style="26" customWidth="1"/>
    <col min="8194" max="8194" width="12.109375" style="26" customWidth="1"/>
    <col min="8195" max="8195" width="1" style="26" customWidth="1"/>
    <col min="8196" max="8196" width="17" style="26" customWidth="1"/>
    <col min="8197" max="8197" width="7.6640625" style="26" customWidth="1"/>
    <col min="8198" max="8198" width="8.44140625" style="26" customWidth="1"/>
    <col min="8199" max="8200" width="7.6640625" style="26" customWidth="1"/>
    <col min="8201" max="8202" width="8.44140625" style="26" customWidth="1"/>
    <col min="8203" max="8203" width="7.6640625" style="26" customWidth="1"/>
    <col min="8204" max="8204" width="10.5546875" style="26" customWidth="1"/>
    <col min="8205" max="8205" width="4.6640625" style="26" customWidth="1"/>
    <col min="8206" max="8206" width="14.109375" style="26" customWidth="1"/>
    <col min="8207" max="8207" width="2.5546875" style="26" customWidth="1"/>
    <col min="8208" max="8208" width="7.33203125" style="26"/>
    <col min="8209" max="8212" width="7.33203125" style="26" customWidth="1"/>
    <col min="8213" max="8213" width="10.109375" style="26" customWidth="1"/>
    <col min="8214" max="8214" width="7.33203125" style="26" customWidth="1"/>
    <col min="8215" max="8215" width="7.33203125" style="26"/>
    <col min="8216" max="8216" width="9" style="26" customWidth="1"/>
    <col min="8217" max="8448" width="7.33203125" style="26"/>
    <col min="8449" max="8449" width="1.33203125" style="26" customWidth="1"/>
    <col min="8450" max="8450" width="12.109375" style="26" customWidth="1"/>
    <col min="8451" max="8451" width="1" style="26" customWidth="1"/>
    <col min="8452" max="8452" width="17" style="26" customWidth="1"/>
    <col min="8453" max="8453" width="7.6640625" style="26" customWidth="1"/>
    <col min="8454" max="8454" width="8.44140625" style="26" customWidth="1"/>
    <col min="8455" max="8456" width="7.6640625" style="26" customWidth="1"/>
    <col min="8457" max="8458" width="8.44140625" style="26" customWidth="1"/>
    <col min="8459" max="8459" width="7.6640625" style="26" customWidth="1"/>
    <col min="8460" max="8460" width="10.5546875" style="26" customWidth="1"/>
    <col min="8461" max="8461" width="4.6640625" style="26" customWidth="1"/>
    <col min="8462" max="8462" width="14.109375" style="26" customWidth="1"/>
    <col min="8463" max="8463" width="2.5546875" style="26" customWidth="1"/>
    <col min="8464" max="8464" width="7.33203125" style="26"/>
    <col min="8465" max="8468" width="7.33203125" style="26" customWidth="1"/>
    <col min="8469" max="8469" width="10.109375" style="26" customWidth="1"/>
    <col min="8470" max="8470" width="7.33203125" style="26" customWidth="1"/>
    <col min="8471" max="8471" width="7.33203125" style="26"/>
    <col min="8472" max="8472" width="9" style="26" customWidth="1"/>
    <col min="8473" max="8704" width="7.33203125" style="26"/>
    <col min="8705" max="8705" width="1.33203125" style="26" customWidth="1"/>
    <col min="8706" max="8706" width="12.109375" style="26" customWidth="1"/>
    <col min="8707" max="8707" width="1" style="26" customWidth="1"/>
    <col min="8708" max="8708" width="17" style="26" customWidth="1"/>
    <col min="8709" max="8709" width="7.6640625" style="26" customWidth="1"/>
    <col min="8710" max="8710" width="8.44140625" style="26" customWidth="1"/>
    <col min="8711" max="8712" width="7.6640625" style="26" customWidth="1"/>
    <col min="8713" max="8714" width="8.44140625" style="26" customWidth="1"/>
    <col min="8715" max="8715" width="7.6640625" style="26" customWidth="1"/>
    <col min="8716" max="8716" width="10.5546875" style="26" customWidth="1"/>
    <col min="8717" max="8717" width="4.6640625" style="26" customWidth="1"/>
    <col min="8718" max="8718" width="14.109375" style="26" customWidth="1"/>
    <col min="8719" max="8719" width="2.5546875" style="26" customWidth="1"/>
    <col min="8720" max="8720" width="7.33203125" style="26"/>
    <col min="8721" max="8724" width="7.33203125" style="26" customWidth="1"/>
    <col min="8725" max="8725" width="10.109375" style="26" customWidth="1"/>
    <col min="8726" max="8726" width="7.33203125" style="26" customWidth="1"/>
    <col min="8727" max="8727" width="7.33203125" style="26"/>
    <col min="8728" max="8728" width="9" style="26" customWidth="1"/>
    <col min="8729" max="8960" width="7.33203125" style="26"/>
    <col min="8961" max="8961" width="1.33203125" style="26" customWidth="1"/>
    <col min="8962" max="8962" width="12.109375" style="26" customWidth="1"/>
    <col min="8963" max="8963" width="1" style="26" customWidth="1"/>
    <col min="8964" max="8964" width="17" style="26" customWidth="1"/>
    <col min="8965" max="8965" width="7.6640625" style="26" customWidth="1"/>
    <col min="8966" max="8966" width="8.44140625" style="26" customWidth="1"/>
    <col min="8967" max="8968" width="7.6640625" style="26" customWidth="1"/>
    <col min="8969" max="8970" width="8.44140625" style="26" customWidth="1"/>
    <col min="8971" max="8971" width="7.6640625" style="26" customWidth="1"/>
    <col min="8972" max="8972" width="10.5546875" style="26" customWidth="1"/>
    <col min="8973" max="8973" width="4.6640625" style="26" customWidth="1"/>
    <col min="8974" max="8974" width="14.109375" style="26" customWidth="1"/>
    <col min="8975" max="8975" width="2.5546875" style="26" customWidth="1"/>
    <col min="8976" max="8976" width="7.33203125" style="26"/>
    <col min="8977" max="8980" width="7.33203125" style="26" customWidth="1"/>
    <col min="8981" max="8981" width="10.109375" style="26" customWidth="1"/>
    <col min="8982" max="8982" width="7.33203125" style="26" customWidth="1"/>
    <col min="8983" max="8983" width="7.33203125" style="26"/>
    <col min="8984" max="8984" width="9" style="26" customWidth="1"/>
    <col min="8985" max="9216" width="7.33203125" style="26"/>
    <col min="9217" max="9217" width="1.33203125" style="26" customWidth="1"/>
    <col min="9218" max="9218" width="12.109375" style="26" customWidth="1"/>
    <col min="9219" max="9219" width="1" style="26" customWidth="1"/>
    <col min="9220" max="9220" width="17" style="26" customWidth="1"/>
    <col min="9221" max="9221" width="7.6640625" style="26" customWidth="1"/>
    <col min="9222" max="9222" width="8.44140625" style="26" customWidth="1"/>
    <col min="9223" max="9224" width="7.6640625" style="26" customWidth="1"/>
    <col min="9225" max="9226" width="8.44140625" style="26" customWidth="1"/>
    <col min="9227" max="9227" width="7.6640625" style="26" customWidth="1"/>
    <col min="9228" max="9228" width="10.5546875" style="26" customWidth="1"/>
    <col min="9229" max="9229" width="4.6640625" style="26" customWidth="1"/>
    <col min="9230" max="9230" width="14.109375" style="26" customWidth="1"/>
    <col min="9231" max="9231" width="2.5546875" style="26" customWidth="1"/>
    <col min="9232" max="9232" width="7.33203125" style="26"/>
    <col min="9233" max="9236" width="7.33203125" style="26" customWidth="1"/>
    <col min="9237" max="9237" width="10.109375" style="26" customWidth="1"/>
    <col min="9238" max="9238" width="7.33203125" style="26" customWidth="1"/>
    <col min="9239" max="9239" width="7.33203125" style="26"/>
    <col min="9240" max="9240" width="9" style="26" customWidth="1"/>
    <col min="9241" max="9472" width="7.33203125" style="26"/>
    <col min="9473" max="9473" width="1.33203125" style="26" customWidth="1"/>
    <col min="9474" max="9474" width="12.109375" style="26" customWidth="1"/>
    <col min="9475" max="9475" width="1" style="26" customWidth="1"/>
    <col min="9476" max="9476" width="17" style="26" customWidth="1"/>
    <col min="9477" max="9477" width="7.6640625" style="26" customWidth="1"/>
    <col min="9478" max="9478" width="8.44140625" style="26" customWidth="1"/>
    <col min="9479" max="9480" width="7.6640625" style="26" customWidth="1"/>
    <col min="9481" max="9482" width="8.44140625" style="26" customWidth="1"/>
    <col min="9483" max="9483" width="7.6640625" style="26" customWidth="1"/>
    <col min="9484" max="9484" width="10.5546875" style="26" customWidth="1"/>
    <col min="9485" max="9485" width="4.6640625" style="26" customWidth="1"/>
    <col min="9486" max="9486" width="14.109375" style="26" customWidth="1"/>
    <col min="9487" max="9487" width="2.5546875" style="26" customWidth="1"/>
    <col min="9488" max="9488" width="7.33203125" style="26"/>
    <col min="9489" max="9492" width="7.33203125" style="26" customWidth="1"/>
    <col min="9493" max="9493" width="10.109375" style="26" customWidth="1"/>
    <col min="9494" max="9494" width="7.33203125" style="26" customWidth="1"/>
    <col min="9495" max="9495" width="7.33203125" style="26"/>
    <col min="9496" max="9496" width="9" style="26" customWidth="1"/>
    <col min="9497" max="9728" width="7.33203125" style="26"/>
    <col min="9729" max="9729" width="1.33203125" style="26" customWidth="1"/>
    <col min="9730" max="9730" width="12.109375" style="26" customWidth="1"/>
    <col min="9731" max="9731" width="1" style="26" customWidth="1"/>
    <col min="9732" max="9732" width="17" style="26" customWidth="1"/>
    <col min="9733" max="9733" width="7.6640625" style="26" customWidth="1"/>
    <col min="9734" max="9734" width="8.44140625" style="26" customWidth="1"/>
    <col min="9735" max="9736" width="7.6640625" style="26" customWidth="1"/>
    <col min="9737" max="9738" width="8.44140625" style="26" customWidth="1"/>
    <col min="9739" max="9739" width="7.6640625" style="26" customWidth="1"/>
    <col min="9740" max="9740" width="10.5546875" style="26" customWidth="1"/>
    <col min="9741" max="9741" width="4.6640625" style="26" customWidth="1"/>
    <col min="9742" max="9742" width="14.109375" style="26" customWidth="1"/>
    <col min="9743" max="9743" width="2.5546875" style="26" customWidth="1"/>
    <col min="9744" max="9744" width="7.33203125" style="26"/>
    <col min="9745" max="9748" width="7.33203125" style="26" customWidth="1"/>
    <col min="9749" max="9749" width="10.109375" style="26" customWidth="1"/>
    <col min="9750" max="9750" width="7.33203125" style="26" customWidth="1"/>
    <col min="9751" max="9751" width="7.33203125" style="26"/>
    <col min="9752" max="9752" width="9" style="26" customWidth="1"/>
    <col min="9753" max="9984" width="7.33203125" style="26"/>
    <col min="9985" max="9985" width="1.33203125" style="26" customWidth="1"/>
    <col min="9986" max="9986" width="12.109375" style="26" customWidth="1"/>
    <col min="9987" max="9987" width="1" style="26" customWidth="1"/>
    <col min="9988" max="9988" width="17" style="26" customWidth="1"/>
    <col min="9989" max="9989" width="7.6640625" style="26" customWidth="1"/>
    <col min="9990" max="9990" width="8.44140625" style="26" customWidth="1"/>
    <col min="9991" max="9992" width="7.6640625" style="26" customWidth="1"/>
    <col min="9993" max="9994" width="8.44140625" style="26" customWidth="1"/>
    <col min="9995" max="9995" width="7.6640625" style="26" customWidth="1"/>
    <col min="9996" max="9996" width="10.5546875" style="26" customWidth="1"/>
    <col min="9997" max="9997" width="4.6640625" style="26" customWidth="1"/>
    <col min="9998" max="9998" width="14.109375" style="26" customWidth="1"/>
    <col min="9999" max="9999" width="2.5546875" style="26" customWidth="1"/>
    <col min="10000" max="10000" width="7.33203125" style="26"/>
    <col min="10001" max="10004" width="7.33203125" style="26" customWidth="1"/>
    <col min="10005" max="10005" width="10.109375" style="26" customWidth="1"/>
    <col min="10006" max="10006" width="7.33203125" style="26" customWidth="1"/>
    <col min="10007" max="10007" width="7.33203125" style="26"/>
    <col min="10008" max="10008" width="9" style="26" customWidth="1"/>
    <col min="10009" max="10240" width="7.33203125" style="26"/>
    <col min="10241" max="10241" width="1.33203125" style="26" customWidth="1"/>
    <col min="10242" max="10242" width="12.109375" style="26" customWidth="1"/>
    <col min="10243" max="10243" width="1" style="26" customWidth="1"/>
    <col min="10244" max="10244" width="17" style="26" customWidth="1"/>
    <col min="10245" max="10245" width="7.6640625" style="26" customWidth="1"/>
    <col min="10246" max="10246" width="8.44140625" style="26" customWidth="1"/>
    <col min="10247" max="10248" width="7.6640625" style="26" customWidth="1"/>
    <col min="10249" max="10250" width="8.44140625" style="26" customWidth="1"/>
    <col min="10251" max="10251" width="7.6640625" style="26" customWidth="1"/>
    <col min="10252" max="10252" width="10.5546875" style="26" customWidth="1"/>
    <col min="10253" max="10253" width="4.6640625" style="26" customWidth="1"/>
    <col min="10254" max="10254" width="14.109375" style="26" customWidth="1"/>
    <col min="10255" max="10255" width="2.5546875" style="26" customWidth="1"/>
    <col min="10256" max="10256" width="7.33203125" style="26"/>
    <col min="10257" max="10260" width="7.33203125" style="26" customWidth="1"/>
    <col min="10261" max="10261" width="10.109375" style="26" customWidth="1"/>
    <col min="10262" max="10262" width="7.33203125" style="26" customWidth="1"/>
    <col min="10263" max="10263" width="7.33203125" style="26"/>
    <col min="10264" max="10264" width="9" style="26" customWidth="1"/>
    <col min="10265" max="10496" width="7.33203125" style="26"/>
    <col min="10497" max="10497" width="1.33203125" style="26" customWidth="1"/>
    <col min="10498" max="10498" width="12.109375" style="26" customWidth="1"/>
    <col min="10499" max="10499" width="1" style="26" customWidth="1"/>
    <col min="10500" max="10500" width="17" style="26" customWidth="1"/>
    <col min="10501" max="10501" width="7.6640625" style="26" customWidth="1"/>
    <col min="10502" max="10502" width="8.44140625" style="26" customWidth="1"/>
    <col min="10503" max="10504" width="7.6640625" style="26" customWidth="1"/>
    <col min="10505" max="10506" width="8.44140625" style="26" customWidth="1"/>
    <col min="10507" max="10507" width="7.6640625" style="26" customWidth="1"/>
    <col min="10508" max="10508" width="10.5546875" style="26" customWidth="1"/>
    <col min="10509" max="10509" width="4.6640625" style="26" customWidth="1"/>
    <col min="10510" max="10510" width="14.109375" style="26" customWidth="1"/>
    <col min="10511" max="10511" width="2.5546875" style="26" customWidth="1"/>
    <col min="10512" max="10512" width="7.33203125" style="26"/>
    <col min="10513" max="10516" width="7.33203125" style="26" customWidth="1"/>
    <col min="10517" max="10517" width="10.109375" style="26" customWidth="1"/>
    <col min="10518" max="10518" width="7.33203125" style="26" customWidth="1"/>
    <col min="10519" max="10519" width="7.33203125" style="26"/>
    <col min="10520" max="10520" width="9" style="26" customWidth="1"/>
    <col min="10521" max="10752" width="7.33203125" style="26"/>
    <col min="10753" max="10753" width="1.33203125" style="26" customWidth="1"/>
    <col min="10754" max="10754" width="12.109375" style="26" customWidth="1"/>
    <col min="10755" max="10755" width="1" style="26" customWidth="1"/>
    <col min="10756" max="10756" width="17" style="26" customWidth="1"/>
    <col min="10757" max="10757" width="7.6640625" style="26" customWidth="1"/>
    <col min="10758" max="10758" width="8.44140625" style="26" customWidth="1"/>
    <col min="10759" max="10760" width="7.6640625" style="26" customWidth="1"/>
    <col min="10761" max="10762" width="8.44140625" style="26" customWidth="1"/>
    <col min="10763" max="10763" width="7.6640625" style="26" customWidth="1"/>
    <col min="10764" max="10764" width="10.5546875" style="26" customWidth="1"/>
    <col min="10765" max="10765" width="4.6640625" style="26" customWidth="1"/>
    <col min="10766" max="10766" width="14.109375" style="26" customWidth="1"/>
    <col min="10767" max="10767" width="2.5546875" style="26" customWidth="1"/>
    <col min="10768" max="10768" width="7.33203125" style="26"/>
    <col min="10769" max="10772" width="7.33203125" style="26" customWidth="1"/>
    <col min="10773" max="10773" width="10.109375" style="26" customWidth="1"/>
    <col min="10774" max="10774" width="7.33203125" style="26" customWidth="1"/>
    <col min="10775" max="10775" width="7.33203125" style="26"/>
    <col min="10776" max="10776" width="9" style="26" customWidth="1"/>
    <col min="10777" max="11008" width="7.33203125" style="26"/>
    <col min="11009" max="11009" width="1.33203125" style="26" customWidth="1"/>
    <col min="11010" max="11010" width="12.109375" style="26" customWidth="1"/>
    <col min="11011" max="11011" width="1" style="26" customWidth="1"/>
    <col min="11012" max="11012" width="17" style="26" customWidth="1"/>
    <col min="11013" max="11013" width="7.6640625" style="26" customWidth="1"/>
    <col min="11014" max="11014" width="8.44140625" style="26" customWidth="1"/>
    <col min="11015" max="11016" width="7.6640625" style="26" customWidth="1"/>
    <col min="11017" max="11018" width="8.44140625" style="26" customWidth="1"/>
    <col min="11019" max="11019" width="7.6640625" style="26" customWidth="1"/>
    <col min="11020" max="11020" width="10.5546875" style="26" customWidth="1"/>
    <col min="11021" max="11021" width="4.6640625" style="26" customWidth="1"/>
    <col min="11022" max="11022" width="14.109375" style="26" customWidth="1"/>
    <col min="11023" max="11023" width="2.5546875" style="26" customWidth="1"/>
    <col min="11024" max="11024" width="7.33203125" style="26"/>
    <col min="11025" max="11028" width="7.33203125" style="26" customWidth="1"/>
    <col min="11029" max="11029" width="10.109375" style="26" customWidth="1"/>
    <col min="11030" max="11030" width="7.33203125" style="26" customWidth="1"/>
    <col min="11031" max="11031" width="7.33203125" style="26"/>
    <col min="11032" max="11032" width="9" style="26" customWidth="1"/>
    <col min="11033" max="11264" width="7.33203125" style="26"/>
    <col min="11265" max="11265" width="1.33203125" style="26" customWidth="1"/>
    <col min="11266" max="11266" width="12.109375" style="26" customWidth="1"/>
    <col min="11267" max="11267" width="1" style="26" customWidth="1"/>
    <col min="11268" max="11268" width="17" style="26" customWidth="1"/>
    <col min="11269" max="11269" width="7.6640625" style="26" customWidth="1"/>
    <col min="11270" max="11270" width="8.44140625" style="26" customWidth="1"/>
    <col min="11271" max="11272" width="7.6640625" style="26" customWidth="1"/>
    <col min="11273" max="11274" width="8.44140625" style="26" customWidth="1"/>
    <col min="11275" max="11275" width="7.6640625" style="26" customWidth="1"/>
    <col min="11276" max="11276" width="10.5546875" style="26" customWidth="1"/>
    <col min="11277" max="11277" width="4.6640625" style="26" customWidth="1"/>
    <col min="11278" max="11278" width="14.109375" style="26" customWidth="1"/>
    <col min="11279" max="11279" width="2.5546875" style="26" customWidth="1"/>
    <col min="11280" max="11280" width="7.33203125" style="26"/>
    <col min="11281" max="11284" width="7.33203125" style="26" customWidth="1"/>
    <col min="11285" max="11285" width="10.109375" style="26" customWidth="1"/>
    <col min="11286" max="11286" width="7.33203125" style="26" customWidth="1"/>
    <col min="11287" max="11287" width="7.33203125" style="26"/>
    <col min="11288" max="11288" width="9" style="26" customWidth="1"/>
    <col min="11289" max="11520" width="7.33203125" style="26"/>
    <col min="11521" max="11521" width="1.33203125" style="26" customWidth="1"/>
    <col min="11522" max="11522" width="12.109375" style="26" customWidth="1"/>
    <col min="11523" max="11523" width="1" style="26" customWidth="1"/>
    <col min="11524" max="11524" width="17" style="26" customWidth="1"/>
    <col min="11525" max="11525" width="7.6640625" style="26" customWidth="1"/>
    <col min="11526" max="11526" width="8.44140625" style="26" customWidth="1"/>
    <col min="11527" max="11528" width="7.6640625" style="26" customWidth="1"/>
    <col min="11529" max="11530" width="8.44140625" style="26" customWidth="1"/>
    <col min="11531" max="11531" width="7.6640625" style="26" customWidth="1"/>
    <col min="11532" max="11532" width="10.5546875" style="26" customWidth="1"/>
    <col min="11533" max="11533" width="4.6640625" style="26" customWidth="1"/>
    <col min="11534" max="11534" width="14.109375" style="26" customWidth="1"/>
    <col min="11535" max="11535" width="2.5546875" style="26" customWidth="1"/>
    <col min="11536" max="11536" width="7.33203125" style="26"/>
    <col min="11537" max="11540" width="7.33203125" style="26" customWidth="1"/>
    <col min="11541" max="11541" width="10.109375" style="26" customWidth="1"/>
    <col min="11542" max="11542" width="7.33203125" style="26" customWidth="1"/>
    <col min="11543" max="11543" width="7.33203125" style="26"/>
    <col min="11544" max="11544" width="9" style="26" customWidth="1"/>
    <col min="11545" max="11776" width="7.33203125" style="26"/>
    <col min="11777" max="11777" width="1.33203125" style="26" customWidth="1"/>
    <col min="11778" max="11778" width="12.109375" style="26" customWidth="1"/>
    <col min="11779" max="11779" width="1" style="26" customWidth="1"/>
    <col min="11780" max="11780" width="17" style="26" customWidth="1"/>
    <col min="11781" max="11781" width="7.6640625" style="26" customWidth="1"/>
    <col min="11782" max="11782" width="8.44140625" style="26" customWidth="1"/>
    <col min="11783" max="11784" width="7.6640625" style="26" customWidth="1"/>
    <col min="11785" max="11786" width="8.44140625" style="26" customWidth="1"/>
    <col min="11787" max="11787" width="7.6640625" style="26" customWidth="1"/>
    <col min="11788" max="11788" width="10.5546875" style="26" customWidth="1"/>
    <col min="11789" max="11789" width="4.6640625" style="26" customWidth="1"/>
    <col min="11790" max="11790" width="14.109375" style="26" customWidth="1"/>
    <col min="11791" max="11791" width="2.5546875" style="26" customWidth="1"/>
    <col min="11792" max="11792" width="7.33203125" style="26"/>
    <col min="11793" max="11796" width="7.33203125" style="26" customWidth="1"/>
    <col min="11797" max="11797" width="10.109375" style="26" customWidth="1"/>
    <col min="11798" max="11798" width="7.33203125" style="26" customWidth="1"/>
    <col min="11799" max="11799" width="7.33203125" style="26"/>
    <col min="11800" max="11800" width="9" style="26" customWidth="1"/>
    <col min="11801" max="12032" width="7.33203125" style="26"/>
    <col min="12033" max="12033" width="1.33203125" style="26" customWidth="1"/>
    <col min="12034" max="12034" width="12.109375" style="26" customWidth="1"/>
    <col min="12035" max="12035" width="1" style="26" customWidth="1"/>
    <col min="12036" max="12036" width="17" style="26" customWidth="1"/>
    <col min="12037" max="12037" width="7.6640625" style="26" customWidth="1"/>
    <col min="12038" max="12038" width="8.44140625" style="26" customWidth="1"/>
    <col min="12039" max="12040" width="7.6640625" style="26" customWidth="1"/>
    <col min="12041" max="12042" width="8.44140625" style="26" customWidth="1"/>
    <col min="12043" max="12043" width="7.6640625" style="26" customWidth="1"/>
    <col min="12044" max="12044" width="10.5546875" style="26" customWidth="1"/>
    <col min="12045" max="12045" width="4.6640625" style="26" customWidth="1"/>
    <col min="12046" max="12046" width="14.109375" style="26" customWidth="1"/>
    <col min="12047" max="12047" width="2.5546875" style="26" customWidth="1"/>
    <col min="12048" max="12048" width="7.33203125" style="26"/>
    <col min="12049" max="12052" width="7.33203125" style="26" customWidth="1"/>
    <col min="12053" max="12053" width="10.109375" style="26" customWidth="1"/>
    <col min="12054" max="12054" width="7.33203125" style="26" customWidth="1"/>
    <col min="12055" max="12055" width="7.33203125" style="26"/>
    <col min="12056" max="12056" width="9" style="26" customWidth="1"/>
    <col min="12057" max="12288" width="7.33203125" style="26"/>
    <col min="12289" max="12289" width="1.33203125" style="26" customWidth="1"/>
    <col min="12290" max="12290" width="12.109375" style="26" customWidth="1"/>
    <col min="12291" max="12291" width="1" style="26" customWidth="1"/>
    <col min="12292" max="12292" width="17" style="26" customWidth="1"/>
    <col min="12293" max="12293" width="7.6640625" style="26" customWidth="1"/>
    <col min="12294" max="12294" width="8.44140625" style="26" customWidth="1"/>
    <col min="12295" max="12296" width="7.6640625" style="26" customWidth="1"/>
    <col min="12297" max="12298" width="8.44140625" style="26" customWidth="1"/>
    <col min="12299" max="12299" width="7.6640625" style="26" customWidth="1"/>
    <col min="12300" max="12300" width="10.5546875" style="26" customWidth="1"/>
    <col min="12301" max="12301" width="4.6640625" style="26" customWidth="1"/>
    <col min="12302" max="12302" width="14.109375" style="26" customWidth="1"/>
    <col min="12303" max="12303" width="2.5546875" style="26" customWidth="1"/>
    <col min="12304" max="12304" width="7.33203125" style="26"/>
    <col min="12305" max="12308" width="7.33203125" style="26" customWidth="1"/>
    <col min="12309" max="12309" width="10.109375" style="26" customWidth="1"/>
    <col min="12310" max="12310" width="7.33203125" style="26" customWidth="1"/>
    <col min="12311" max="12311" width="7.33203125" style="26"/>
    <col min="12312" max="12312" width="9" style="26" customWidth="1"/>
    <col min="12313" max="12544" width="7.33203125" style="26"/>
    <col min="12545" max="12545" width="1.33203125" style="26" customWidth="1"/>
    <col min="12546" max="12546" width="12.109375" style="26" customWidth="1"/>
    <col min="12547" max="12547" width="1" style="26" customWidth="1"/>
    <col min="12548" max="12548" width="17" style="26" customWidth="1"/>
    <col min="12549" max="12549" width="7.6640625" style="26" customWidth="1"/>
    <col min="12550" max="12550" width="8.44140625" style="26" customWidth="1"/>
    <col min="12551" max="12552" width="7.6640625" style="26" customWidth="1"/>
    <col min="12553" max="12554" width="8.44140625" style="26" customWidth="1"/>
    <col min="12555" max="12555" width="7.6640625" style="26" customWidth="1"/>
    <col min="12556" max="12556" width="10.5546875" style="26" customWidth="1"/>
    <col min="12557" max="12557" width="4.6640625" style="26" customWidth="1"/>
    <col min="12558" max="12558" width="14.109375" style="26" customWidth="1"/>
    <col min="12559" max="12559" width="2.5546875" style="26" customWidth="1"/>
    <col min="12560" max="12560" width="7.33203125" style="26"/>
    <col min="12561" max="12564" width="7.33203125" style="26" customWidth="1"/>
    <col min="12565" max="12565" width="10.109375" style="26" customWidth="1"/>
    <col min="12566" max="12566" width="7.33203125" style="26" customWidth="1"/>
    <col min="12567" max="12567" width="7.33203125" style="26"/>
    <col min="12568" max="12568" width="9" style="26" customWidth="1"/>
    <col min="12569" max="12800" width="7.33203125" style="26"/>
    <col min="12801" max="12801" width="1.33203125" style="26" customWidth="1"/>
    <col min="12802" max="12802" width="12.109375" style="26" customWidth="1"/>
    <col min="12803" max="12803" width="1" style="26" customWidth="1"/>
    <col min="12804" max="12804" width="17" style="26" customWidth="1"/>
    <col min="12805" max="12805" width="7.6640625" style="26" customWidth="1"/>
    <col min="12806" max="12806" width="8.44140625" style="26" customWidth="1"/>
    <col min="12807" max="12808" width="7.6640625" style="26" customWidth="1"/>
    <col min="12809" max="12810" width="8.44140625" style="26" customWidth="1"/>
    <col min="12811" max="12811" width="7.6640625" style="26" customWidth="1"/>
    <col min="12812" max="12812" width="10.5546875" style="26" customWidth="1"/>
    <col min="12813" max="12813" width="4.6640625" style="26" customWidth="1"/>
    <col min="12814" max="12814" width="14.109375" style="26" customWidth="1"/>
    <col min="12815" max="12815" width="2.5546875" style="26" customWidth="1"/>
    <col min="12816" max="12816" width="7.33203125" style="26"/>
    <col min="12817" max="12820" width="7.33203125" style="26" customWidth="1"/>
    <col min="12821" max="12821" width="10.109375" style="26" customWidth="1"/>
    <col min="12822" max="12822" width="7.33203125" style="26" customWidth="1"/>
    <col min="12823" max="12823" width="7.33203125" style="26"/>
    <col min="12824" max="12824" width="9" style="26" customWidth="1"/>
    <col min="12825" max="13056" width="7.33203125" style="26"/>
    <col min="13057" max="13057" width="1.33203125" style="26" customWidth="1"/>
    <col min="13058" max="13058" width="12.109375" style="26" customWidth="1"/>
    <col min="13059" max="13059" width="1" style="26" customWidth="1"/>
    <col min="13060" max="13060" width="17" style="26" customWidth="1"/>
    <col min="13061" max="13061" width="7.6640625" style="26" customWidth="1"/>
    <col min="13062" max="13062" width="8.44140625" style="26" customWidth="1"/>
    <col min="13063" max="13064" width="7.6640625" style="26" customWidth="1"/>
    <col min="13065" max="13066" width="8.44140625" style="26" customWidth="1"/>
    <col min="13067" max="13067" width="7.6640625" style="26" customWidth="1"/>
    <col min="13068" max="13068" width="10.5546875" style="26" customWidth="1"/>
    <col min="13069" max="13069" width="4.6640625" style="26" customWidth="1"/>
    <col min="13070" max="13070" width="14.109375" style="26" customWidth="1"/>
    <col min="13071" max="13071" width="2.5546875" style="26" customWidth="1"/>
    <col min="13072" max="13072" width="7.33203125" style="26"/>
    <col min="13073" max="13076" width="7.33203125" style="26" customWidth="1"/>
    <col min="13077" max="13077" width="10.109375" style="26" customWidth="1"/>
    <col min="13078" max="13078" width="7.33203125" style="26" customWidth="1"/>
    <col min="13079" max="13079" width="7.33203125" style="26"/>
    <col min="13080" max="13080" width="9" style="26" customWidth="1"/>
    <col min="13081" max="13312" width="7.33203125" style="26"/>
    <col min="13313" max="13313" width="1.33203125" style="26" customWidth="1"/>
    <col min="13314" max="13314" width="12.109375" style="26" customWidth="1"/>
    <col min="13315" max="13315" width="1" style="26" customWidth="1"/>
    <col min="13316" max="13316" width="17" style="26" customWidth="1"/>
    <col min="13317" max="13317" width="7.6640625" style="26" customWidth="1"/>
    <col min="13318" max="13318" width="8.44140625" style="26" customWidth="1"/>
    <col min="13319" max="13320" width="7.6640625" style="26" customWidth="1"/>
    <col min="13321" max="13322" width="8.44140625" style="26" customWidth="1"/>
    <col min="13323" max="13323" width="7.6640625" style="26" customWidth="1"/>
    <col min="13324" max="13324" width="10.5546875" style="26" customWidth="1"/>
    <col min="13325" max="13325" width="4.6640625" style="26" customWidth="1"/>
    <col min="13326" max="13326" width="14.109375" style="26" customWidth="1"/>
    <col min="13327" max="13327" width="2.5546875" style="26" customWidth="1"/>
    <col min="13328" max="13328" width="7.33203125" style="26"/>
    <col min="13329" max="13332" width="7.33203125" style="26" customWidth="1"/>
    <col min="13333" max="13333" width="10.109375" style="26" customWidth="1"/>
    <col min="13334" max="13334" width="7.33203125" style="26" customWidth="1"/>
    <col min="13335" max="13335" width="7.33203125" style="26"/>
    <col min="13336" max="13336" width="9" style="26" customWidth="1"/>
    <col min="13337" max="13568" width="7.33203125" style="26"/>
    <col min="13569" max="13569" width="1.33203125" style="26" customWidth="1"/>
    <col min="13570" max="13570" width="12.109375" style="26" customWidth="1"/>
    <col min="13571" max="13571" width="1" style="26" customWidth="1"/>
    <col min="13572" max="13572" width="17" style="26" customWidth="1"/>
    <col min="13573" max="13573" width="7.6640625" style="26" customWidth="1"/>
    <col min="13574" max="13574" width="8.44140625" style="26" customWidth="1"/>
    <col min="13575" max="13576" width="7.6640625" style="26" customWidth="1"/>
    <col min="13577" max="13578" width="8.44140625" style="26" customWidth="1"/>
    <col min="13579" max="13579" width="7.6640625" style="26" customWidth="1"/>
    <col min="13580" max="13580" width="10.5546875" style="26" customWidth="1"/>
    <col min="13581" max="13581" width="4.6640625" style="26" customWidth="1"/>
    <col min="13582" max="13582" width="14.109375" style="26" customWidth="1"/>
    <col min="13583" max="13583" width="2.5546875" style="26" customWidth="1"/>
    <col min="13584" max="13584" width="7.33203125" style="26"/>
    <col min="13585" max="13588" width="7.33203125" style="26" customWidth="1"/>
    <col min="13589" max="13589" width="10.109375" style="26" customWidth="1"/>
    <col min="13590" max="13590" width="7.33203125" style="26" customWidth="1"/>
    <col min="13591" max="13591" width="7.33203125" style="26"/>
    <col min="13592" max="13592" width="9" style="26" customWidth="1"/>
    <col min="13593" max="13824" width="7.33203125" style="26"/>
    <col min="13825" max="13825" width="1.33203125" style="26" customWidth="1"/>
    <col min="13826" max="13826" width="12.109375" style="26" customWidth="1"/>
    <col min="13827" max="13827" width="1" style="26" customWidth="1"/>
    <col min="13828" max="13828" width="17" style="26" customWidth="1"/>
    <col min="13829" max="13829" width="7.6640625" style="26" customWidth="1"/>
    <col min="13830" max="13830" width="8.44140625" style="26" customWidth="1"/>
    <col min="13831" max="13832" width="7.6640625" style="26" customWidth="1"/>
    <col min="13833" max="13834" width="8.44140625" style="26" customWidth="1"/>
    <col min="13835" max="13835" width="7.6640625" style="26" customWidth="1"/>
    <col min="13836" max="13836" width="10.5546875" style="26" customWidth="1"/>
    <col min="13837" max="13837" width="4.6640625" style="26" customWidth="1"/>
    <col min="13838" max="13838" width="14.109375" style="26" customWidth="1"/>
    <col min="13839" max="13839" width="2.5546875" style="26" customWidth="1"/>
    <col min="13840" max="13840" width="7.33203125" style="26"/>
    <col min="13841" max="13844" width="7.33203125" style="26" customWidth="1"/>
    <col min="13845" max="13845" width="10.109375" style="26" customWidth="1"/>
    <col min="13846" max="13846" width="7.33203125" style="26" customWidth="1"/>
    <col min="13847" max="13847" width="7.33203125" style="26"/>
    <col min="13848" max="13848" width="9" style="26" customWidth="1"/>
    <col min="13849" max="14080" width="7.33203125" style="26"/>
    <col min="14081" max="14081" width="1.33203125" style="26" customWidth="1"/>
    <col min="14082" max="14082" width="12.109375" style="26" customWidth="1"/>
    <col min="14083" max="14083" width="1" style="26" customWidth="1"/>
    <col min="14084" max="14084" width="17" style="26" customWidth="1"/>
    <col min="14085" max="14085" width="7.6640625" style="26" customWidth="1"/>
    <col min="14086" max="14086" width="8.44140625" style="26" customWidth="1"/>
    <col min="14087" max="14088" width="7.6640625" style="26" customWidth="1"/>
    <col min="14089" max="14090" width="8.44140625" style="26" customWidth="1"/>
    <col min="14091" max="14091" width="7.6640625" style="26" customWidth="1"/>
    <col min="14092" max="14092" width="10.5546875" style="26" customWidth="1"/>
    <col min="14093" max="14093" width="4.6640625" style="26" customWidth="1"/>
    <col min="14094" max="14094" width="14.109375" style="26" customWidth="1"/>
    <col min="14095" max="14095" width="2.5546875" style="26" customWidth="1"/>
    <col min="14096" max="14096" width="7.33203125" style="26"/>
    <col min="14097" max="14100" width="7.33203125" style="26" customWidth="1"/>
    <col min="14101" max="14101" width="10.109375" style="26" customWidth="1"/>
    <col min="14102" max="14102" width="7.33203125" style="26" customWidth="1"/>
    <col min="14103" max="14103" width="7.33203125" style="26"/>
    <col min="14104" max="14104" width="9" style="26" customWidth="1"/>
    <col min="14105" max="14336" width="7.33203125" style="26"/>
    <col min="14337" max="14337" width="1.33203125" style="26" customWidth="1"/>
    <col min="14338" max="14338" width="12.109375" style="26" customWidth="1"/>
    <col min="14339" max="14339" width="1" style="26" customWidth="1"/>
    <col min="14340" max="14340" width="17" style="26" customWidth="1"/>
    <col min="14341" max="14341" width="7.6640625" style="26" customWidth="1"/>
    <col min="14342" max="14342" width="8.44140625" style="26" customWidth="1"/>
    <col min="14343" max="14344" width="7.6640625" style="26" customWidth="1"/>
    <col min="14345" max="14346" width="8.44140625" style="26" customWidth="1"/>
    <col min="14347" max="14347" width="7.6640625" style="26" customWidth="1"/>
    <col min="14348" max="14348" width="10.5546875" style="26" customWidth="1"/>
    <col min="14349" max="14349" width="4.6640625" style="26" customWidth="1"/>
    <col min="14350" max="14350" width="14.109375" style="26" customWidth="1"/>
    <col min="14351" max="14351" width="2.5546875" style="26" customWidth="1"/>
    <col min="14352" max="14352" width="7.33203125" style="26"/>
    <col min="14353" max="14356" width="7.33203125" style="26" customWidth="1"/>
    <col min="14357" max="14357" width="10.109375" style="26" customWidth="1"/>
    <col min="14358" max="14358" width="7.33203125" style="26" customWidth="1"/>
    <col min="14359" max="14359" width="7.33203125" style="26"/>
    <col min="14360" max="14360" width="9" style="26" customWidth="1"/>
    <col min="14361" max="14592" width="7.33203125" style="26"/>
    <col min="14593" max="14593" width="1.33203125" style="26" customWidth="1"/>
    <col min="14594" max="14594" width="12.109375" style="26" customWidth="1"/>
    <col min="14595" max="14595" width="1" style="26" customWidth="1"/>
    <col min="14596" max="14596" width="17" style="26" customWidth="1"/>
    <col min="14597" max="14597" width="7.6640625" style="26" customWidth="1"/>
    <col min="14598" max="14598" width="8.44140625" style="26" customWidth="1"/>
    <col min="14599" max="14600" width="7.6640625" style="26" customWidth="1"/>
    <col min="14601" max="14602" width="8.44140625" style="26" customWidth="1"/>
    <col min="14603" max="14603" width="7.6640625" style="26" customWidth="1"/>
    <col min="14604" max="14604" width="10.5546875" style="26" customWidth="1"/>
    <col min="14605" max="14605" width="4.6640625" style="26" customWidth="1"/>
    <col min="14606" max="14606" width="14.109375" style="26" customWidth="1"/>
    <col min="14607" max="14607" width="2.5546875" style="26" customWidth="1"/>
    <col min="14608" max="14608" width="7.33203125" style="26"/>
    <col min="14609" max="14612" width="7.33203125" style="26" customWidth="1"/>
    <col min="14613" max="14613" width="10.109375" style="26" customWidth="1"/>
    <col min="14614" max="14614" width="7.33203125" style="26" customWidth="1"/>
    <col min="14615" max="14615" width="7.33203125" style="26"/>
    <col min="14616" max="14616" width="9" style="26" customWidth="1"/>
    <col min="14617" max="14848" width="7.33203125" style="26"/>
    <col min="14849" max="14849" width="1.33203125" style="26" customWidth="1"/>
    <col min="14850" max="14850" width="12.109375" style="26" customWidth="1"/>
    <col min="14851" max="14851" width="1" style="26" customWidth="1"/>
    <col min="14852" max="14852" width="17" style="26" customWidth="1"/>
    <col min="14853" max="14853" width="7.6640625" style="26" customWidth="1"/>
    <col min="14854" max="14854" width="8.44140625" style="26" customWidth="1"/>
    <col min="14855" max="14856" width="7.6640625" style="26" customWidth="1"/>
    <col min="14857" max="14858" width="8.44140625" style="26" customWidth="1"/>
    <col min="14859" max="14859" width="7.6640625" style="26" customWidth="1"/>
    <col min="14860" max="14860" width="10.5546875" style="26" customWidth="1"/>
    <col min="14861" max="14861" width="4.6640625" style="26" customWidth="1"/>
    <col min="14862" max="14862" width="14.109375" style="26" customWidth="1"/>
    <col min="14863" max="14863" width="2.5546875" style="26" customWidth="1"/>
    <col min="14864" max="14864" width="7.33203125" style="26"/>
    <col min="14865" max="14868" width="7.33203125" style="26" customWidth="1"/>
    <col min="14869" max="14869" width="10.109375" style="26" customWidth="1"/>
    <col min="14870" max="14870" width="7.33203125" style="26" customWidth="1"/>
    <col min="14871" max="14871" width="7.33203125" style="26"/>
    <col min="14872" max="14872" width="9" style="26" customWidth="1"/>
    <col min="14873" max="15104" width="7.33203125" style="26"/>
    <col min="15105" max="15105" width="1.33203125" style="26" customWidth="1"/>
    <col min="15106" max="15106" width="12.109375" style="26" customWidth="1"/>
    <col min="15107" max="15107" width="1" style="26" customWidth="1"/>
    <col min="15108" max="15108" width="17" style="26" customWidth="1"/>
    <col min="15109" max="15109" width="7.6640625" style="26" customWidth="1"/>
    <col min="15110" max="15110" width="8.44140625" style="26" customWidth="1"/>
    <col min="15111" max="15112" width="7.6640625" style="26" customWidth="1"/>
    <col min="15113" max="15114" width="8.44140625" style="26" customWidth="1"/>
    <col min="15115" max="15115" width="7.6640625" style="26" customWidth="1"/>
    <col min="15116" max="15116" width="10.5546875" style="26" customWidth="1"/>
    <col min="15117" max="15117" width="4.6640625" style="26" customWidth="1"/>
    <col min="15118" max="15118" width="14.109375" style="26" customWidth="1"/>
    <col min="15119" max="15119" width="2.5546875" style="26" customWidth="1"/>
    <col min="15120" max="15120" width="7.33203125" style="26"/>
    <col min="15121" max="15124" width="7.33203125" style="26" customWidth="1"/>
    <col min="15125" max="15125" width="10.109375" style="26" customWidth="1"/>
    <col min="15126" max="15126" width="7.33203125" style="26" customWidth="1"/>
    <col min="15127" max="15127" width="7.33203125" style="26"/>
    <col min="15128" max="15128" width="9" style="26" customWidth="1"/>
    <col min="15129" max="15360" width="7.33203125" style="26"/>
    <col min="15361" max="15361" width="1.33203125" style="26" customWidth="1"/>
    <col min="15362" max="15362" width="12.109375" style="26" customWidth="1"/>
    <col min="15363" max="15363" width="1" style="26" customWidth="1"/>
    <col min="15364" max="15364" width="17" style="26" customWidth="1"/>
    <col min="15365" max="15365" width="7.6640625" style="26" customWidth="1"/>
    <col min="15366" max="15366" width="8.44140625" style="26" customWidth="1"/>
    <col min="15367" max="15368" width="7.6640625" style="26" customWidth="1"/>
    <col min="15369" max="15370" width="8.44140625" style="26" customWidth="1"/>
    <col min="15371" max="15371" width="7.6640625" style="26" customWidth="1"/>
    <col min="15372" max="15372" width="10.5546875" style="26" customWidth="1"/>
    <col min="15373" max="15373" width="4.6640625" style="26" customWidth="1"/>
    <col min="15374" max="15374" width="14.109375" style="26" customWidth="1"/>
    <col min="15375" max="15375" width="2.5546875" style="26" customWidth="1"/>
    <col min="15376" max="15376" width="7.33203125" style="26"/>
    <col min="15377" max="15380" width="7.33203125" style="26" customWidth="1"/>
    <col min="15381" max="15381" width="10.109375" style="26" customWidth="1"/>
    <col min="15382" max="15382" width="7.33203125" style="26" customWidth="1"/>
    <col min="15383" max="15383" width="7.33203125" style="26"/>
    <col min="15384" max="15384" width="9" style="26" customWidth="1"/>
    <col min="15385" max="15616" width="7.33203125" style="26"/>
    <col min="15617" max="15617" width="1.33203125" style="26" customWidth="1"/>
    <col min="15618" max="15618" width="12.109375" style="26" customWidth="1"/>
    <col min="15619" max="15619" width="1" style="26" customWidth="1"/>
    <col min="15620" max="15620" width="17" style="26" customWidth="1"/>
    <col min="15621" max="15621" width="7.6640625" style="26" customWidth="1"/>
    <col min="15622" max="15622" width="8.44140625" style="26" customWidth="1"/>
    <col min="15623" max="15624" width="7.6640625" style="26" customWidth="1"/>
    <col min="15625" max="15626" width="8.44140625" style="26" customWidth="1"/>
    <col min="15627" max="15627" width="7.6640625" style="26" customWidth="1"/>
    <col min="15628" max="15628" width="10.5546875" style="26" customWidth="1"/>
    <col min="15629" max="15629" width="4.6640625" style="26" customWidth="1"/>
    <col min="15630" max="15630" width="14.109375" style="26" customWidth="1"/>
    <col min="15631" max="15631" width="2.5546875" style="26" customWidth="1"/>
    <col min="15632" max="15632" width="7.33203125" style="26"/>
    <col min="15633" max="15636" width="7.33203125" style="26" customWidth="1"/>
    <col min="15637" max="15637" width="10.109375" style="26" customWidth="1"/>
    <col min="15638" max="15638" width="7.33203125" style="26" customWidth="1"/>
    <col min="15639" max="15639" width="7.33203125" style="26"/>
    <col min="15640" max="15640" width="9" style="26" customWidth="1"/>
    <col min="15641" max="15872" width="7.33203125" style="26"/>
    <col min="15873" max="15873" width="1.33203125" style="26" customWidth="1"/>
    <col min="15874" max="15874" width="12.109375" style="26" customWidth="1"/>
    <col min="15875" max="15875" width="1" style="26" customWidth="1"/>
    <col min="15876" max="15876" width="17" style="26" customWidth="1"/>
    <col min="15877" max="15877" width="7.6640625" style="26" customWidth="1"/>
    <col min="15878" max="15878" width="8.44140625" style="26" customWidth="1"/>
    <col min="15879" max="15880" width="7.6640625" style="26" customWidth="1"/>
    <col min="15881" max="15882" width="8.44140625" style="26" customWidth="1"/>
    <col min="15883" max="15883" width="7.6640625" style="26" customWidth="1"/>
    <col min="15884" max="15884" width="10.5546875" style="26" customWidth="1"/>
    <col min="15885" max="15885" width="4.6640625" style="26" customWidth="1"/>
    <col min="15886" max="15886" width="14.109375" style="26" customWidth="1"/>
    <col min="15887" max="15887" width="2.5546875" style="26" customWidth="1"/>
    <col min="15888" max="15888" width="7.33203125" style="26"/>
    <col min="15889" max="15892" width="7.33203125" style="26" customWidth="1"/>
    <col min="15893" max="15893" width="10.109375" style="26" customWidth="1"/>
    <col min="15894" max="15894" width="7.33203125" style="26" customWidth="1"/>
    <col min="15895" max="15895" width="7.33203125" style="26"/>
    <col min="15896" max="15896" width="9" style="26" customWidth="1"/>
    <col min="15897" max="16128" width="7.33203125" style="26"/>
    <col min="16129" max="16129" width="1.33203125" style="26" customWidth="1"/>
    <col min="16130" max="16130" width="12.109375" style="26" customWidth="1"/>
    <col min="16131" max="16131" width="1" style="26" customWidth="1"/>
    <col min="16132" max="16132" width="17" style="26" customWidth="1"/>
    <col min="16133" max="16133" width="7.6640625" style="26" customWidth="1"/>
    <col min="16134" max="16134" width="8.44140625" style="26" customWidth="1"/>
    <col min="16135" max="16136" width="7.6640625" style="26" customWidth="1"/>
    <col min="16137" max="16138" width="8.44140625" style="26" customWidth="1"/>
    <col min="16139" max="16139" width="7.6640625" style="26" customWidth="1"/>
    <col min="16140" max="16140" width="10.5546875" style="26" customWidth="1"/>
    <col min="16141" max="16141" width="4.6640625" style="26" customWidth="1"/>
    <col min="16142" max="16142" width="14.109375" style="26" customWidth="1"/>
    <col min="16143" max="16143" width="2.5546875" style="26" customWidth="1"/>
    <col min="16144" max="16144" width="7.33203125" style="26"/>
    <col min="16145" max="16148" width="7.33203125" style="26" customWidth="1"/>
    <col min="16149" max="16149" width="10.109375" style="26" customWidth="1"/>
    <col min="16150" max="16150" width="7.33203125" style="26" customWidth="1"/>
    <col min="16151" max="16151" width="7.33203125" style="26"/>
    <col min="16152" max="16152" width="9" style="26" customWidth="1"/>
    <col min="16153" max="16384" width="7.33203125" style="26"/>
  </cols>
  <sheetData>
    <row r="1" spans="2:32" s="18" customFormat="1" ht="18" customHeight="1">
      <c r="B1" s="865"/>
      <c r="C1" s="862" t="s">
        <v>545</v>
      </c>
      <c r="D1" s="866"/>
      <c r="E1" s="867"/>
      <c r="F1" s="871"/>
      <c r="G1" s="871"/>
      <c r="H1" s="814"/>
      <c r="I1" s="814"/>
      <c r="J1" s="814"/>
      <c r="K1" s="839"/>
      <c r="L1" s="876" t="s">
        <v>546</v>
      </c>
      <c r="M1" s="814"/>
      <c r="N1" s="815" t="s">
        <v>562</v>
      </c>
    </row>
    <row r="2" spans="2:32" s="18" customFormat="1" ht="18" customHeight="1">
      <c r="B2" s="868"/>
      <c r="C2" s="902" t="s">
        <v>548</v>
      </c>
      <c r="D2" s="869"/>
      <c r="E2" s="890"/>
      <c r="F2" s="891"/>
      <c r="G2" s="891"/>
      <c r="H2" s="891"/>
      <c r="I2" s="891"/>
      <c r="J2" s="891"/>
      <c r="K2" s="842"/>
      <c r="L2" s="863" t="s">
        <v>549</v>
      </c>
      <c r="M2" s="846"/>
      <c r="N2" s="817">
        <v>2</v>
      </c>
    </row>
    <row r="3" spans="2:32" s="18" customFormat="1" ht="18" customHeight="1">
      <c r="B3" s="868"/>
      <c r="C3" s="903" t="s">
        <v>719</v>
      </c>
      <c r="D3" s="869"/>
      <c r="E3" s="890"/>
      <c r="F3" s="890"/>
      <c r="G3" s="890"/>
      <c r="H3" s="846"/>
      <c r="I3" s="846"/>
      <c r="J3" s="846"/>
      <c r="K3" s="842"/>
      <c r="L3" s="863" t="s">
        <v>84</v>
      </c>
      <c r="M3" s="844"/>
      <c r="N3" s="823">
        <v>45658</v>
      </c>
    </row>
    <row r="4" spans="2:32" s="18" customFormat="1" ht="18" customHeight="1">
      <c r="B4" s="870"/>
      <c r="C4" s="875"/>
      <c r="D4" s="818"/>
      <c r="E4" s="818"/>
      <c r="F4" s="818"/>
      <c r="G4" s="818"/>
      <c r="H4" s="818"/>
      <c r="I4" s="818"/>
      <c r="J4" s="818"/>
      <c r="K4" s="843"/>
      <c r="L4" s="864" t="s">
        <v>550</v>
      </c>
      <c r="M4" s="818"/>
      <c r="N4" s="819" t="s">
        <v>551</v>
      </c>
      <c r="Q4" s="19"/>
      <c r="R4" s="19"/>
      <c r="S4" s="19"/>
      <c r="T4" s="20"/>
      <c r="U4" s="21"/>
      <c r="V4" s="21"/>
      <c r="W4" s="21"/>
      <c r="X4" s="21"/>
      <c r="Y4" s="21"/>
      <c r="Z4" s="21"/>
      <c r="AA4" s="21"/>
      <c r="AB4" s="21"/>
      <c r="AC4" s="21"/>
      <c r="AD4" s="21"/>
      <c r="AE4" s="21"/>
      <c r="AF4" s="21"/>
    </row>
    <row r="5" spans="2:32" s="22" customFormat="1" ht="18" customHeight="1">
      <c r="B5" s="877" t="s">
        <v>552</v>
      </c>
      <c r="C5" s="826"/>
      <c r="D5" s="962" t="s">
        <v>553</v>
      </c>
      <c r="E5" s="827"/>
      <c r="F5" s="828"/>
      <c r="G5" s="829"/>
      <c r="H5" s="829"/>
      <c r="I5" s="829"/>
      <c r="J5" s="838" t="s">
        <v>554</v>
      </c>
      <c r="K5" s="824"/>
      <c r="L5" s="962" t="str">
        <f>'D6913'!J5</f>
        <v>CAP22027-C2-4000-0505</v>
      </c>
      <c r="M5" s="831"/>
      <c r="N5" s="832"/>
      <c r="Q5" s="23"/>
      <c r="R5" s="24"/>
      <c r="S5" s="24"/>
      <c r="T5" s="20"/>
      <c r="U5" s="25"/>
      <c r="V5" s="25"/>
      <c r="W5" s="25"/>
      <c r="X5" s="25"/>
      <c r="Y5" s="25"/>
      <c r="Z5" s="25"/>
      <c r="AA5" s="25"/>
      <c r="AB5" s="25"/>
      <c r="AC5" s="25"/>
      <c r="AD5" s="25"/>
      <c r="AE5" s="25"/>
      <c r="AF5" s="25"/>
    </row>
    <row r="6" spans="2:32" s="22" customFormat="1" ht="18" customHeight="1">
      <c r="B6" s="859" t="s">
        <v>555</v>
      </c>
      <c r="C6" s="833"/>
      <c r="D6" s="993" t="str">
        <f>'D6913'!C6</f>
        <v>RELLENO DE MATERIAL DE NÚCLEO</v>
      </c>
      <c r="E6" s="821"/>
      <c r="F6" s="834"/>
      <c r="G6" s="835"/>
      <c r="H6" s="835"/>
      <c r="I6" s="835"/>
      <c r="J6" s="841" t="s">
        <v>556</v>
      </c>
      <c r="K6" s="824"/>
      <c r="L6" s="963" t="str">
        <f>'D6913'!J6</f>
        <v>CAP22027-C2-4000-0505-02/02</v>
      </c>
      <c r="M6" s="822"/>
      <c r="N6" s="847"/>
      <c r="Q6" s="23"/>
      <c r="R6" s="24"/>
      <c r="S6" s="24"/>
      <c r="T6" s="20"/>
      <c r="U6" s="25"/>
      <c r="V6" s="25"/>
      <c r="W6" s="25"/>
      <c r="X6" s="25"/>
      <c r="Y6" s="25"/>
      <c r="Z6" s="25"/>
      <c r="AA6" s="25"/>
      <c r="AB6" s="25"/>
      <c r="AC6" s="25"/>
      <c r="AD6" s="25"/>
      <c r="AE6" s="25"/>
      <c r="AF6" s="25"/>
    </row>
    <row r="7" spans="2:32" s="22" customFormat="1" ht="18" customHeight="1">
      <c r="B7" s="859" t="s">
        <v>557</v>
      </c>
      <c r="C7" s="833"/>
      <c r="D7" s="993" t="str">
        <f>'D6913'!C7</f>
        <v>SGS DEL PERÚ S.A.C.</v>
      </c>
      <c r="E7" s="836"/>
      <c r="F7" s="836"/>
      <c r="G7" s="837"/>
      <c r="H7" s="837"/>
      <c r="I7" s="837"/>
      <c r="J7" s="841" t="s">
        <v>102</v>
      </c>
      <c r="K7" s="840"/>
      <c r="L7" s="1519">
        <f>'D6913'!J7</f>
        <v>46122</v>
      </c>
      <c r="M7" s="1519"/>
      <c r="N7" s="1533"/>
      <c r="Q7" s="23"/>
      <c r="R7" s="24"/>
      <c r="S7" s="24"/>
      <c r="T7" s="20"/>
      <c r="U7" s="25"/>
      <c r="V7" s="25"/>
      <c r="W7" s="25"/>
      <c r="X7" s="25"/>
      <c r="Y7" s="25"/>
      <c r="Z7" s="25"/>
      <c r="AA7" s="25"/>
      <c r="AB7" s="25"/>
      <c r="AC7" s="25"/>
      <c r="AD7" s="25"/>
      <c r="AE7" s="25"/>
      <c r="AF7" s="25"/>
    </row>
    <row r="8" spans="2:32" s="22" customFormat="1" ht="18" customHeight="1">
      <c r="B8" s="859" t="s">
        <v>558</v>
      </c>
      <c r="C8" s="833"/>
      <c r="D8" s="993" t="str">
        <f>'D6913'!C8</f>
        <v>CAP220271490000-C2-4000-10-CS-112_0</v>
      </c>
      <c r="E8" s="836"/>
      <c r="F8" s="836"/>
      <c r="G8" s="837"/>
      <c r="H8" s="837"/>
      <c r="I8" s="837"/>
      <c r="J8" s="841" t="s">
        <v>5</v>
      </c>
      <c r="K8" s="825"/>
      <c r="L8" s="1519" t="s">
        <v>897</v>
      </c>
      <c r="M8" s="1519"/>
      <c r="N8" s="849"/>
      <c r="Q8" s="23"/>
      <c r="R8" s="24"/>
      <c r="S8" s="24"/>
      <c r="T8" s="20"/>
      <c r="U8" s="25"/>
      <c r="V8" s="25"/>
      <c r="W8" s="25"/>
      <c r="X8" s="25"/>
      <c r="Y8" s="25"/>
      <c r="Z8" s="25"/>
      <c r="AA8" s="25"/>
      <c r="AB8" s="25"/>
      <c r="AC8" s="25"/>
      <c r="AD8" s="25"/>
      <c r="AE8" s="25"/>
      <c r="AF8" s="25"/>
    </row>
    <row r="9" spans="2:32" s="22" customFormat="1" ht="18" customHeight="1">
      <c r="B9" s="859" t="s">
        <v>559</v>
      </c>
      <c r="C9" s="833"/>
      <c r="D9" s="994"/>
      <c r="E9" s="836"/>
      <c r="F9" s="836"/>
      <c r="G9" s="837"/>
      <c r="H9" s="837"/>
      <c r="I9" s="837"/>
      <c r="J9" s="841" t="s">
        <v>560</v>
      </c>
      <c r="K9" s="845"/>
      <c r="L9" s="1154">
        <v>1</v>
      </c>
      <c r="M9" s="900" t="s">
        <v>561</v>
      </c>
      <c r="N9" s="1154">
        <v>1</v>
      </c>
      <c r="O9" s="1172"/>
      <c r="Q9" s="23"/>
      <c r="R9" s="24"/>
      <c r="S9" s="24"/>
      <c r="T9" s="20"/>
      <c r="U9" s="25"/>
      <c r="V9" s="25"/>
      <c r="W9" s="25"/>
      <c r="X9" s="25"/>
      <c r="Y9" s="25"/>
      <c r="Z9" s="25"/>
      <c r="AA9" s="25"/>
      <c r="AB9" s="25"/>
      <c r="AC9" s="25"/>
      <c r="AD9" s="25"/>
      <c r="AE9" s="25"/>
      <c r="AF9" s="25"/>
    </row>
    <row r="10" spans="2:32" s="22" customFormat="1" ht="6.75" customHeight="1">
      <c r="B10" s="517"/>
      <c r="C10" s="518"/>
      <c r="D10" s="812"/>
      <c r="E10" s="812"/>
      <c r="F10" s="812"/>
      <c r="G10" s="812"/>
      <c r="H10" s="812"/>
      <c r="I10" s="812"/>
      <c r="J10" s="860"/>
      <c r="K10" s="860"/>
      <c r="L10" s="860"/>
      <c r="M10" s="812"/>
      <c r="N10" s="861"/>
      <c r="Q10" s="23"/>
      <c r="R10" s="24"/>
      <c r="S10" s="24"/>
      <c r="T10" s="20"/>
      <c r="U10" s="25"/>
      <c r="V10" s="25"/>
      <c r="W10" s="25"/>
      <c r="X10" s="25"/>
      <c r="Y10" s="25"/>
      <c r="Z10" s="25"/>
      <c r="AA10" s="25"/>
      <c r="AB10" s="25"/>
      <c r="AC10" s="25"/>
      <c r="AD10" s="25"/>
      <c r="AE10" s="25"/>
      <c r="AF10" s="25"/>
    </row>
    <row r="11" spans="2:32" s="22" customFormat="1" ht="16.5" customHeight="1">
      <c r="B11" s="1496" t="s">
        <v>891</v>
      </c>
      <c r="C11" s="1497"/>
      <c r="D11" s="1497"/>
      <c r="E11" s="1497"/>
      <c r="F11" s="1497"/>
      <c r="G11" s="1497"/>
      <c r="H11" s="1497"/>
      <c r="I11" s="1497"/>
      <c r="J11" s="1497"/>
      <c r="K11" s="1497"/>
      <c r="L11" s="1497"/>
      <c r="M11" s="1497"/>
      <c r="N11" s="1498"/>
      <c r="Q11" s="23"/>
      <c r="R11" s="24"/>
      <c r="S11" s="24"/>
      <c r="T11" s="20"/>
      <c r="U11" s="25"/>
      <c r="V11" s="25"/>
      <c r="W11" s="25"/>
      <c r="X11" s="25"/>
      <c r="Y11" s="25"/>
      <c r="Z11" s="25"/>
      <c r="AA11" s="25"/>
      <c r="AB11" s="25"/>
      <c r="AC11" s="25"/>
      <c r="AD11" s="25"/>
      <c r="AE11" s="25"/>
      <c r="AF11" s="25"/>
    </row>
    <row r="12" spans="2:32" s="22" customFormat="1" ht="18" customHeight="1">
      <c r="B12" s="520" t="str">
        <f>'D6913'!A12</f>
        <v>UBICACIÓN DE LA MUESTRA:</v>
      </c>
      <c r="C12" s="516"/>
      <c r="D12" s="516"/>
      <c r="E12" s="948" t="str">
        <f>'D6913'!C12</f>
        <v>SD5- Plataforma de Acopio Zona 3 DP16 - Pila N° 25</v>
      </c>
      <c r="F12" s="516"/>
      <c r="G12" s="516"/>
      <c r="H12" s="516"/>
      <c r="I12" s="516"/>
      <c r="J12" s="516"/>
      <c r="K12" s="516"/>
      <c r="L12" s="521"/>
      <c r="M12" s="980" t="str">
        <f>'D6913'!J12</f>
        <v>FECHA MUESTREO:</v>
      </c>
      <c r="N12" s="969">
        <f>'D6913'!K12</f>
        <v>46122</v>
      </c>
      <c r="Q12" s="23"/>
      <c r="R12" s="1551" t="s">
        <v>541</v>
      </c>
      <c r="S12" s="1552"/>
      <c r="T12" s="1552"/>
      <c r="U12" s="1552"/>
      <c r="V12" s="1552"/>
      <c r="W12" s="1552"/>
      <c r="X12" s="1553"/>
      <c r="Y12" s="25"/>
      <c r="Z12" s="25"/>
      <c r="AA12" s="25"/>
      <c r="AB12" s="25"/>
      <c r="AC12" s="25"/>
      <c r="AD12" s="25"/>
      <c r="AE12" s="25"/>
      <c r="AF12" s="25"/>
    </row>
    <row r="13" spans="2:32" s="22" customFormat="1" ht="18" customHeight="1" thickBot="1">
      <c r="B13" s="561" t="str">
        <f>'D6913'!A13</f>
        <v>MATERIAL:</v>
      </c>
      <c r="C13" s="1554" t="str">
        <f>'D6913'!B13</f>
        <v>Zona 3 - Núcleo</v>
      </c>
      <c r="D13" s="1554"/>
      <c r="E13" s="1554"/>
      <c r="F13" s="1554"/>
      <c r="G13" s="1554"/>
      <c r="H13" s="974" t="s">
        <v>353</v>
      </c>
      <c r="I13" s="522"/>
      <c r="J13" s="1555" t="str">
        <f>'D6913'!F13</f>
        <v>SGS-C-Z3-025</v>
      </c>
      <c r="K13" s="1555"/>
      <c r="L13" s="560"/>
      <c r="M13" s="981" t="str">
        <f>'D6913'!J13</f>
        <v>FECHA ENSAYO:</v>
      </c>
      <c r="N13" s="970">
        <f>'D6913'!K13</f>
        <v>46122</v>
      </c>
      <c r="P13" s="793"/>
      <c r="Q13" s="794">
        <f>IF(G35="NP",1*K23,1*K22)</f>
        <v>31.763826606875938</v>
      </c>
      <c r="R13" s="795"/>
      <c r="S13" s="795"/>
      <c r="T13" s="796"/>
      <c r="U13" s="797"/>
      <c r="V13" s="797"/>
      <c r="W13" s="797"/>
      <c r="X13" s="797"/>
      <c r="Y13" s="797"/>
      <c r="Z13" s="798"/>
      <c r="AA13" s="25"/>
      <c r="AB13" s="25"/>
      <c r="AC13" s="25"/>
      <c r="AD13" s="25"/>
      <c r="AE13" s="25"/>
      <c r="AF13" s="25"/>
    </row>
    <row r="14" spans="2:32" ht="18.75" customHeight="1" thickTop="1">
      <c r="B14" s="1534" t="s">
        <v>720</v>
      </c>
      <c r="C14" s="1535"/>
      <c r="D14" s="1535"/>
      <c r="E14" s="1535"/>
      <c r="F14" s="1535"/>
      <c r="G14" s="1535"/>
      <c r="H14" s="1535"/>
      <c r="I14" s="1535"/>
      <c r="J14" s="1535"/>
      <c r="K14" s="1535"/>
      <c r="L14" s="1535"/>
      <c r="M14" s="1535"/>
      <c r="N14" s="1536"/>
      <c r="P14" s="799" t="s">
        <v>534</v>
      </c>
      <c r="Q14" s="26">
        <f>1*((G24-K24)*K22-(25-K24)*(K22-G22))/(G24-K24)</f>
        <v>30.86430138601721</v>
      </c>
      <c r="Z14" s="792"/>
    </row>
    <row r="15" spans="2:32" ht="17.25" customHeight="1">
      <c r="B15" s="976" t="s">
        <v>105</v>
      </c>
      <c r="C15" s="977"/>
      <c r="D15" s="977"/>
      <c r="E15" s="977"/>
      <c r="F15" s="975" t="s">
        <v>106</v>
      </c>
      <c r="G15" s="1537" t="s">
        <v>103</v>
      </c>
      <c r="H15" s="1538"/>
      <c r="I15" s="1538"/>
      <c r="J15" s="1538"/>
      <c r="K15" s="1538"/>
      <c r="L15" s="1538"/>
      <c r="M15" s="1538"/>
      <c r="N15" s="1539"/>
      <c r="P15" s="799" t="s">
        <v>535</v>
      </c>
      <c r="Q15" s="26">
        <f>IF(G35="NP",(1*((I24-K24)*K23-(25-K24)*(K23-I23))/(I24-K24)),1*((I24-K24)*K22-(25-K24)*(K22-I22))/(I24-K24))</f>
        <v>30.896960060996392</v>
      </c>
      <c r="Z15" s="792"/>
    </row>
    <row r="16" spans="2:32" ht="15" customHeight="1">
      <c r="B16" s="523" t="s">
        <v>108</v>
      </c>
      <c r="C16" s="524"/>
      <c r="D16" s="524"/>
      <c r="E16" s="524"/>
      <c r="F16" s="525"/>
      <c r="G16" s="1556">
        <v>3</v>
      </c>
      <c r="H16" s="1557"/>
      <c r="I16" s="1556">
        <v>18</v>
      </c>
      <c r="J16" s="1557"/>
      <c r="K16" s="1556">
        <v>6</v>
      </c>
      <c r="L16" s="1557"/>
      <c r="M16" s="1558"/>
      <c r="N16" s="1559"/>
      <c r="O16" s="27"/>
      <c r="P16" s="799"/>
      <c r="Q16" s="800">
        <f>IF(G35="NP",(1*((G24-I24)*I23-(25-I24)*(I23-G23))/(G24-I24)),1*((G24-I24)*I22-(25-I24)*(I22-G22))/(G24-I24))</f>
        <v>30.889702577667684</v>
      </c>
      <c r="R16" s="28"/>
      <c r="U16" s="769">
        <f>+G24</f>
        <v>32</v>
      </c>
      <c r="V16" s="770">
        <f>+I24</f>
        <v>24</v>
      </c>
      <c r="W16" s="769">
        <f>+K24</f>
        <v>16</v>
      </c>
      <c r="Z16" s="792"/>
    </row>
    <row r="17" spans="2:30" ht="15" customHeight="1">
      <c r="B17" s="526" t="s">
        <v>628</v>
      </c>
      <c r="C17" s="527"/>
      <c r="D17" s="527"/>
      <c r="E17" s="527"/>
      <c r="F17" s="528" t="s">
        <v>109</v>
      </c>
      <c r="G17" s="1522">
        <v>28.52</v>
      </c>
      <c r="H17" s="1523"/>
      <c r="I17" s="1522">
        <v>28.71</v>
      </c>
      <c r="J17" s="1523"/>
      <c r="K17" s="1522">
        <v>28.81</v>
      </c>
      <c r="L17" s="1523"/>
      <c r="M17" s="1524"/>
      <c r="N17" s="1525"/>
      <c r="O17" s="29"/>
      <c r="P17" s="799" t="s">
        <v>536</v>
      </c>
      <c r="Q17" s="26">
        <f>1*(Q14+Q15)/2</f>
        <v>30.880630723506801</v>
      </c>
      <c r="U17" s="770">
        <f>+LN(U16)</f>
        <v>3.4657359027997265</v>
      </c>
      <c r="V17" s="770">
        <f>+LN(V16)</f>
        <v>3.1780538303479458</v>
      </c>
      <c r="W17" s="770">
        <f>+LN(W16)</f>
        <v>2.7725887222397811</v>
      </c>
      <c r="Z17" s="792"/>
    </row>
    <row r="18" spans="2:30" ht="15" customHeight="1">
      <c r="B18" s="526" t="s">
        <v>629</v>
      </c>
      <c r="C18" s="527"/>
      <c r="D18" s="527"/>
      <c r="E18" s="527"/>
      <c r="F18" s="528" t="s">
        <v>109</v>
      </c>
      <c r="G18" s="1522">
        <v>24.49</v>
      </c>
      <c r="H18" s="1523"/>
      <c r="I18" s="1522">
        <v>24.56</v>
      </c>
      <c r="J18" s="1523"/>
      <c r="K18" s="1522">
        <v>24.56</v>
      </c>
      <c r="L18" s="1523"/>
      <c r="M18" s="1524"/>
      <c r="N18" s="1525"/>
      <c r="O18" s="30"/>
      <c r="P18" s="761"/>
      <c r="U18" s="770">
        <f>+G22</f>
        <v>30.164670658682645</v>
      </c>
      <c r="V18" s="770">
        <f>+I22</f>
        <v>30.993278566094119</v>
      </c>
      <c r="W18" s="770">
        <f>+K22</f>
        <v>31.763826606875938</v>
      </c>
      <c r="Z18" s="792"/>
    </row>
    <row r="19" spans="2:30" ht="15" customHeight="1">
      <c r="B19" s="526" t="s">
        <v>630</v>
      </c>
      <c r="C19" s="527"/>
      <c r="D19" s="527"/>
      <c r="E19" s="527"/>
      <c r="F19" s="528" t="s">
        <v>109</v>
      </c>
      <c r="G19" s="1526">
        <f>IF(OR(G16=0,G16=""),"",G17-G18)</f>
        <v>4.0300000000000011</v>
      </c>
      <c r="H19" s="1527"/>
      <c r="I19" s="1526">
        <f>IF(OR(I16=0,I16=""),"",I17-I18)</f>
        <v>4.1500000000000021</v>
      </c>
      <c r="J19" s="1527"/>
      <c r="K19" s="1526">
        <f>IF(OR(K16=0,K16=""),"",IF(AND(K16=0,K16=""),"",K17-K18))</f>
        <v>4.25</v>
      </c>
      <c r="L19" s="1527"/>
      <c r="M19" s="1511"/>
      <c r="N19" s="1513"/>
      <c r="O19" s="31"/>
      <c r="P19" s="799">
        <v>10</v>
      </c>
      <c r="Q19" s="32">
        <f>Q17</f>
        <v>30.880630723506801</v>
      </c>
      <c r="R19" s="32">
        <f>(+Q22+Q23)/2</f>
        <v>30.959924584291795</v>
      </c>
      <c r="S19" s="32"/>
      <c r="T19" s="32"/>
      <c r="Z19" s="792"/>
    </row>
    <row r="20" spans="2:30" ht="15" customHeight="1">
      <c r="B20" s="526" t="s">
        <v>631</v>
      </c>
      <c r="C20" s="527"/>
      <c r="D20" s="527"/>
      <c r="E20" s="527"/>
      <c r="F20" s="528" t="s">
        <v>109</v>
      </c>
      <c r="G20" s="1509">
        <f t="shared" ref="G20:I20" si="0">IF(OR(G16=0,G16=""),"",LOOKUP(G16,$X$38:$X$61,$Y$38:$Y$61))</f>
        <v>11.13</v>
      </c>
      <c r="H20" s="1510"/>
      <c r="I20" s="1509">
        <f t="shared" si="0"/>
        <v>11.17</v>
      </c>
      <c r="J20" s="1510"/>
      <c r="K20" s="1509">
        <f>IF(OR(K16=0,K16=""),"",LOOKUP(K16,$X$38:$X$61,$Y$38:$Y$61))</f>
        <v>11.18</v>
      </c>
      <c r="L20" s="1510"/>
      <c r="M20" s="1514"/>
      <c r="N20" s="1516"/>
      <c r="O20" s="30"/>
      <c r="P20" s="799"/>
      <c r="Q20" s="32"/>
      <c r="R20" s="32"/>
      <c r="S20" s="32"/>
      <c r="T20" s="32"/>
      <c r="Z20" s="792"/>
    </row>
    <row r="21" spans="2:30" ht="15" customHeight="1">
      <c r="B21" s="526" t="s">
        <v>632</v>
      </c>
      <c r="C21" s="527"/>
      <c r="D21" s="527"/>
      <c r="E21" s="527"/>
      <c r="F21" s="528" t="s">
        <v>109</v>
      </c>
      <c r="G21" s="1526">
        <f>IF(OR(G16=0,G16=""),"",G18-G20)</f>
        <v>13.359999999999998</v>
      </c>
      <c r="H21" s="1527"/>
      <c r="I21" s="1526">
        <f>IF(OR(I16=0,I16=""),"",I18-I20)</f>
        <v>13.389999999999999</v>
      </c>
      <c r="J21" s="1527"/>
      <c r="K21" s="1526">
        <f>IF(OR(K16=0,K16=""),"",IF(AND(K16=0,K16=""),"",K18-K20))</f>
        <v>13.379999999999999</v>
      </c>
      <c r="L21" s="1527"/>
      <c r="M21" s="1511"/>
      <c r="N21" s="1513"/>
      <c r="O21" s="31"/>
      <c r="P21" s="799">
        <v>25</v>
      </c>
      <c r="Q21" s="32">
        <f>Q17</f>
        <v>30.880630723506801</v>
      </c>
      <c r="R21" s="32">
        <f>(+Q27+Q28)/2</f>
        <v>30.467306417547974</v>
      </c>
      <c r="S21" s="32"/>
      <c r="T21" s="32"/>
      <c r="Z21" s="792"/>
    </row>
    <row r="22" spans="2:30" ht="15" customHeight="1">
      <c r="B22" s="526" t="s">
        <v>110</v>
      </c>
      <c r="C22" s="527"/>
      <c r="D22" s="527"/>
      <c r="E22" s="527"/>
      <c r="F22" s="528" t="s">
        <v>111</v>
      </c>
      <c r="G22" s="1526">
        <f>IF(OR(G16=0,G16=""),"",G19/G21*100)</f>
        <v>30.164670658682645</v>
      </c>
      <c r="H22" s="1527"/>
      <c r="I22" s="1526">
        <f>IF(OR(I16=0,I16=""),"",I19/I21*100)</f>
        <v>30.993278566094119</v>
      </c>
      <c r="J22" s="1527"/>
      <c r="K22" s="1526">
        <f>IF(OR(K16=0,K16=""),"",IF(AND(K16=0,K16=""),"",K19/K21*100))</f>
        <v>31.763826606875938</v>
      </c>
      <c r="L22" s="1527"/>
      <c r="M22" s="1511"/>
      <c r="N22" s="1513"/>
      <c r="O22" s="768"/>
      <c r="P22" s="799">
        <f>G24</f>
        <v>32</v>
      </c>
      <c r="Q22" s="32">
        <f>IF(G35="NP",G22,G23)</f>
        <v>31.079283234108619</v>
      </c>
      <c r="R22" s="32">
        <f>(G24+I24)/2</f>
        <v>28</v>
      </c>
      <c r="S22" s="773">
        <f>G24</f>
        <v>32</v>
      </c>
      <c r="T22" s="32">
        <f>Q22</f>
        <v>31.079283234108619</v>
      </c>
      <c r="Z22" s="792"/>
    </row>
    <row r="23" spans="2:30" ht="15" hidden="1" customHeight="1">
      <c r="B23" s="771" t="s">
        <v>537</v>
      </c>
      <c r="C23" s="772"/>
      <c r="D23" s="772"/>
      <c r="E23" s="772"/>
      <c r="F23" s="528" t="s">
        <v>111</v>
      </c>
      <c r="G23" s="1520">
        <f>IF(AND(G16=0,G16=""),"",(G22*(G24/25)^0.121))</f>
        <v>31.079283234108619</v>
      </c>
      <c r="H23" s="1521"/>
      <c r="I23" s="1520">
        <f>IF(AND(I16=0,I16=""),"",(I22*(I24/25)^0.121))</f>
        <v>30.84056593447497</v>
      </c>
      <c r="J23" s="1521"/>
      <c r="K23" s="1520">
        <f>IF(OR(K16=0,K16=""),"",IF(AND(K16=0,K16=""),"",(K22*(K24/25)^0.121)))</f>
        <v>30.094046900620974</v>
      </c>
      <c r="L23" s="1521"/>
      <c r="M23" s="1511"/>
      <c r="N23" s="1513"/>
      <c r="O23" s="768"/>
      <c r="P23" s="801">
        <f>I24</f>
        <v>24</v>
      </c>
      <c r="Q23" s="32">
        <f>IF(G35="NP",I22,I23)</f>
        <v>30.84056593447497</v>
      </c>
      <c r="R23" s="32">
        <f>(+I24+K24)/2</f>
        <v>20</v>
      </c>
      <c r="S23" s="774">
        <f>P23</f>
        <v>24</v>
      </c>
      <c r="T23" s="32">
        <f>Q23</f>
        <v>30.84056593447497</v>
      </c>
      <c r="X23" s="802" t="s">
        <v>538</v>
      </c>
      <c r="Z23" s="792"/>
    </row>
    <row r="24" spans="2:30" ht="15" customHeight="1">
      <c r="B24" s="529" t="s">
        <v>112</v>
      </c>
      <c r="C24" s="530"/>
      <c r="D24" s="530"/>
      <c r="E24" s="530"/>
      <c r="F24" s="531"/>
      <c r="G24" s="1517">
        <v>32</v>
      </c>
      <c r="H24" s="1518"/>
      <c r="I24" s="1517">
        <v>24</v>
      </c>
      <c r="J24" s="1518"/>
      <c r="K24" s="1517">
        <v>16</v>
      </c>
      <c r="L24" s="1518"/>
      <c r="M24" s="1528"/>
      <c r="N24" s="1529"/>
      <c r="O24" s="33"/>
      <c r="P24" s="803">
        <f>R22</f>
        <v>28</v>
      </c>
      <c r="Q24" s="26">
        <f>R19</f>
        <v>30.959924584291795</v>
      </c>
      <c r="S24" s="775">
        <f>R22</f>
        <v>28</v>
      </c>
      <c r="T24" s="26">
        <v>0</v>
      </c>
      <c r="U24" s="777">
        <f>Q24</f>
        <v>30.959924584291795</v>
      </c>
      <c r="X24" s="26">
        <v>25</v>
      </c>
      <c r="Y24" s="26">
        <f>+Q22+0.5</f>
        <v>31.579283234108619</v>
      </c>
      <c r="Z24" s="792"/>
    </row>
    <row r="25" spans="2:30" ht="5.25" customHeight="1">
      <c r="B25" s="532"/>
      <c r="C25" s="533"/>
      <c r="D25" s="533"/>
      <c r="E25" s="533"/>
      <c r="F25" s="533"/>
      <c r="G25" s="978"/>
      <c r="H25" s="978"/>
      <c r="I25" s="978"/>
      <c r="J25" s="978"/>
      <c r="K25" s="978"/>
      <c r="L25" s="978"/>
      <c r="M25" s="978"/>
      <c r="N25" s="979"/>
      <c r="P25" s="761">
        <f>R23</f>
        <v>20</v>
      </c>
      <c r="Q25" s="26">
        <f>R21</f>
        <v>30.467306417547974</v>
      </c>
      <c r="S25" s="775">
        <f>R23</f>
        <v>20</v>
      </c>
      <c r="T25" s="26">
        <v>0</v>
      </c>
      <c r="U25" s="776">
        <f>Q25</f>
        <v>30.467306417547974</v>
      </c>
      <c r="X25" s="26">
        <v>25</v>
      </c>
      <c r="Y25" s="26">
        <f>+Q28-0.5</f>
        <v>29.594046900620974</v>
      </c>
      <c r="Z25" s="792"/>
    </row>
    <row r="26" spans="2:30" ht="18" customHeight="1">
      <c r="B26" s="1537" t="s">
        <v>721</v>
      </c>
      <c r="C26" s="1538"/>
      <c r="D26" s="1538"/>
      <c r="E26" s="1538"/>
      <c r="F26" s="1538"/>
      <c r="G26" s="1538"/>
      <c r="H26" s="1538"/>
      <c r="I26" s="1538"/>
      <c r="J26" s="1538"/>
      <c r="K26" s="1538"/>
      <c r="L26" s="1538"/>
      <c r="M26" s="1538"/>
      <c r="N26" s="1539"/>
      <c r="P26" s="761"/>
      <c r="S26" s="775">
        <f>R22</f>
        <v>28</v>
      </c>
      <c r="T26" s="26">
        <v>0</v>
      </c>
      <c r="X26" s="26" t="s">
        <v>539</v>
      </c>
      <c r="Z26" s="792"/>
    </row>
    <row r="27" spans="2:30" ht="16.5" customHeight="1">
      <c r="B27" s="976"/>
      <c r="C27" s="977"/>
      <c r="D27" s="977"/>
      <c r="E27" s="977"/>
      <c r="F27" s="975" t="s">
        <v>106</v>
      </c>
      <c r="G27" s="1537" t="s">
        <v>103</v>
      </c>
      <c r="H27" s="1538"/>
      <c r="I27" s="1538"/>
      <c r="J27" s="1539"/>
      <c r="K27" s="1537" t="s">
        <v>107</v>
      </c>
      <c r="L27" s="1538"/>
      <c r="M27" s="1538"/>
      <c r="N27" s="1539"/>
      <c r="P27" s="761">
        <f>I24</f>
        <v>24</v>
      </c>
      <c r="Q27" s="26">
        <f>IF(G35="NP",I22,I23)</f>
        <v>30.84056593447497</v>
      </c>
      <c r="S27" s="775">
        <f>P27</f>
        <v>24</v>
      </c>
      <c r="T27" s="26">
        <v>0</v>
      </c>
      <c r="U27" s="26">
        <v>0</v>
      </c>
      <c r="V27" s="26">
        <f>Q27</f>
        <v>30.84056593447497</v>
      </c>
      <c r="X27" s="26">
        <v>25</v>
      </c>
      <c r="Y27" s="26">
        <f>+L14</f>
        <v>0</v>
      </c>
      <c r="Z27" s="792"/>
    </row>
    <row r="28" spans="2:30" ht="15" customHeight="1">
      <c r="B28" s="523" t="s">
        <v>108</v>
      </c>
      <c r="C28" s="524"/>
      <c r="D28" s="524"/>
      <c r="E28" s="524"/>
      <c r="F28" s="525"/>
      <c r="G28" s="1540">
        <v>3</v>
      </c>
      <c r="H28" s="1541"/>
      <c r="I28" s="1540">
        <v>5</v>
      </c>
      <c r="J28" s="1541"/>
      <c r="K28" s="1530"/>
      <c r="L28" s="1531"/>
      <c r="M28" s="1531"/>
      <c r="N28" s="1532"/>
      <c r="P28" s="761">
        <f>K24</f>
        <v>16</v>
      </c>
      <c r="Q28" s="26">
        <f>IF(G35="NP",K22,K23)</f>
        <v>30.094046900620974</v>
      </c>
      <c r="S28" s="776">
        <f>P28</f>
        <v>16</v>
      </c>
      <c r="T28" s="26">
        <v>0</v>
      </c>
      <c r="U28" s="26">
        <v>0</v>
      </c>
      <c r="V28" s="26">
        <f>Q28</f>
        <v>30.094046900620974</v>
      </c>
      <c r="Z28" s="792"/>
      <c r="AB28" s="435" t="s">
        <v>2</v>
      </c>
      <c r="AC28" s="435" t="s">
        <v>113</v>
      </c>
      <c r="AD28" s="435" t="s">
        <v>3</v>
      </c>
    </row>
    <row r="29" spans="2:30" ht="15" customHeight="1">
      <c r="B29" s="526" t="s">
        <v>628</v>
      </c>
      <c r="C29" s="527"/>
      <c r="D29" s="527"/>
      <c r="E29" s="527"/>
      <c r="F29" s="528" t="s">
        <v>109</v>
      </c>
      <c r="G29" s="1542">
        <v>12.63</v>
      </c>
      <c r="H29" s="1543"/>
      <c r="I29" s="1542">
        <v>12.58</v>
      </c>
      <c r="J29" s="1543"/>
      <c r="K29" s="1511"/>
      <c r="L29" s="1512"/>
      <c r="M29" s="1512"/>
      <c r="N29" s="1513"/>
      <c r="P29" s="761"/>
      <c r="Z29" s="792"/>
      <c r="AB29" s="435">
        <f>S36*LN(25)+S37</f>
        <v>28.857649381998201</v>
      </c>
      <c r="AC29" s="435">
        <f>AVERAGE(G34:J34)</f>
        <v>19.384789509554913</v>
      </c>
      <c r="AD29" s="435">
        <f>+AB29-AC29</f>
        <v>9.4728598724432871</v>
      </c>
    </row>
    <row r="30" spans="2:30" ht="15" customHeight="1">
      <c r="B30" s="526" t="s">
        <v>629</v>
      </c>
      <c r="C30" s="527"/>
      <c r="D30" s="527"/>
      <c r="E30" s="527"/>
      <c r="F30" s="528" t="s">
        <v>109</v>
      </c>
      <c r="G30" s="1542">
        <v>11.27</v>
      </c>
      <c r="H30" s="1543"/>
      <c r="I30" s="1542">
        <v>11.23</v>
      </c>
      <c r="J30" s="1543"/>
      <c r="K30" s="1514"/>
      <c r="L30" s="1515"/>
      <c r="M30" s="1515"/>
      <c r="N30" s="1516"/>
      <c r="P30" s="761"/>
      <c r="Z30" s="792"/>
      <c r="AB30" s="535"/>
      <c r="AC30" s="535"/>
      <c r="AD30" s="535"/>
    </row>
    <row r="31" spans="2:30" ht="15" customHeight="1">
      <c r="B31" s="526" t="s">
        <v>630</v>
      </c>
      <c r="C31" s="527"/>
      <c r="D31" s="527"/>
      <c r="E31" s="527"/>
      <c r="F31" s="528" t="s">
        <v>109</v>
      </c>
      <c r="G31" s="1526">
        <f>IF(COUNTBLANK(G28:G30)&gt;=1,"",G29-G30)</f>
        <v>1.3600000000000012</v>
      </c>
      <c r="H31" s="1527"/>
      <c r="I31" s="1526">
        <f>IF(COUNTBLANK(I28:I30)&gt;=1,"",I29-I30)</f>
        <v>1.3499999999999996</v>
      </c>
      <c r="J31" s="1527"/>
      <c r="K31" s="1511"/>
      <c r="L31" s="1512"/>
      <c r="M31" s="1512"/>
      <c r="N31" s="1513"/>
      <c r="O31" s="32"/>
      <c r="P31" s="803"/>
      <c r="Q31" s="32"/>
      <c r="Z31" s="792"/>
      <c r="AB31" s="762">
        <v>25</v>
      </c>
      <c r="AC31" s="762">
        <v>0</v>
      </c>
      <c r="AD31" s="763"/>
    </row>
    <row r="32" spans="2:30" ht="15" customHeight="1" thickBot="1">
      <c r="B32" s="526" t="s">
        <v>631</v>
      </c>
      <c r="C32" s="527"/>
      <c r="D32" s="527"/>
      <c r="E32" s="527"/>
      <c r="F32" s="528" t="s">
        <v>109</v>
      </c>
      <c r="G32" s="1509">
        <f>IF(OR(G28=0,G28=""),"",LOOKUP(G28,$AA$38:$AA$61,$AB38:$AB$61))</f>
        <v>4.26</v>
      </c>
      <c r="H32" s="1510"/>
      <c r="I32" s="1509">
        <f>IF(OR(I28=0,I28=""),"",LOOKUP(I28,$AA$38:$AA$61,$AB38:$AB$61))</f>
        <v>4.26</v>
      </c>
      <c r="J32" s="1510"/>
      <c r="K32" s="1511"/>
      <c r="L32" s="1512"/>
      <c r="M32" s="1512"/>
      <c r="N32" s="1513"/>
      <c r="O32" s="32"/>
      <c r="P32" s="803"/>
      <c r="Q32" s="32"/>
      <c r="T32" s="778">
        <v>25</v>
      </c>
      <c r="U32" s="779">
        <v>0</v>
      </c>
      <c r="Z32" s="792"/>
      <c r="AB32" s="762">
        <f>+AB31</f>
        <v>25</v>
      </c>
      <c r="AC32" s="1103">
        <v>29.82</v>
      </c>
      <c r="AD32" s="763" t="s">
        <v>2</v>
      </c>
    </row>
    <row r="33" spans="2:30" ht="15" customHeight="1">
      <c r="B33" s="526" t="s">
        <v>632</v>
      </c>
      <c r="C33" s="527"/>
      <c r="D33" s="527"/>
      <c r="E33" s="527"/>
      <c r="F33" s="528" t="s">
        <v>109</v>
      </c>
      <c r="G33" s="1526">
        <f>IF(G31="","",G30-G32)</f>
        <v>7.01</v>
      </c>
      <c r="H33" s="1527"/>
      <c r="I33" s="1526">
        <f>IF(I31="","",I30-I32)</f>
        <v>6.9700000000000006</v>
      </c>
      <c r="J33" s="1527"/>
      <c r="K33" s="1511"/>
      <c r="L33" s="1512"/>
      <c r="M33" s="1512"/>
      <c r="N33" s="1513"/>
      <c r="O33" s="32"/>
      <c r="P33" s="803"/>
      <c r="Q33" s="32"/>
      <c r="T33" s="780">
        <v>25</v>
      </c>
      <c r="U33" s="949">
        <f>AC32</f>
        <v>29.82</v>
      </c>
      <c r="V33" s="901">
        <f>+Q15</f>
        <v>30.896960060996392</v>
      </c>
      <c r="Z33" s="792"/>
      <c r="AB33" s="762">
        <v>1</v>
      </c>
      <c r="AC33" s="435">
        <f>AC32</f>
        <v>29.82</v>
      </c>
      <c r="AD33" s="763" t="s">
        <v>2</v>
      </c>
    </row>
    <row r="34" spans="2:30" ht="15" customHeight="1">
      <c r="B34" s="526" t="s">
        <v>110</v>
      </c>
      <c r="C34" s="527"/>
      <c r="D34" s="527"/>
      <c r="E34" s="527"/>
      <c r="F34" s="528" t="s">
        <v>111</v>
      </c>
      <c r="G34" s="1526">
        <f>IF(G33="","",G31/G33*100)</f>
        <v>19.40085592011414</v>
      </c>
      <c r="H34" s="1527"/>
      <c r="I34" s="1526">
        <f>IF(I33="","",I31/I33*100)</f>
        <v>19.368723098995687</v>
      </c>
      <c r="J34" s="1527"/>
      <c r="K34" s="1511"/>
      <c r="L34" s="1512"/>
      <c r="M34" s="1512"/>
      <c r="N34" s="1513"/>
      <c r="O34" s="32"/>
      <c r="P34" s="804"/>
      <c r="Q34" s="805"/>
      <c r="R34" s="806"/>
      <c r="S34" s="806"/>
      <c r="T34" s="807">
        <v>1</v>
      </c>
      <c r="U34" s="808">
        <f>+U33</f>
        <v>29.82</v>
      </c>
      <c r="V34" s="806"/>
      <c r="W34" s="806"/>
      <c r="X34" s="806"/>
      <c r="Y34" s="806"/>
      <c r="Z34" s="809"/>
    </row>
    <row r="35" spans="2:30" ht="15" customHeight="1">
      <c r="B35" s="529" t="s">
        <v>338</v>
      </c>
      <c r="C35" s="530"/>
      <c r="D35" s="530"/>
      <c r="E35" s="530"/>
      <c r="F35" s="531" t="s">
        <v>111</v>
      </c>
      <c r="G35" s="1548">
        <f>+IF(AND(G34="",I34=""),"NP",AVERAGE(G34:J34))</f>
        <v>19.384789509554913</v>
      </c>
      <c r="H35" s="1549"/>
      <c r="I35" s="1549"/>
      <c r="J35" s="1550"/>
      <c r="K35" s="1545"/>
      <c r="L35" s="1546"/>
      <c r="M35" s="1546"/>
      <c r="N35" s="1547"/>
      <c r="O35" s="32"/>
      <c r="P35" s="32"/>
      <c r="Q35" s="32"/>
    </row>
    <row r="36" spans="2:30" ht="17.25" customHeight="1">
      <c r="B36" s="781"/>
      <c r="C36" s="549"/>
      <c r="D36" s="549"/>
      <c r="E36" s="549"/>
      <c r="F36" s="782"/>
      <c r="G36" s="782"/>
      <c r="H36" s="782"/>
      <c r="I36" s="536"/>
      <c r="J36" s="536"/>
      <c r="K36" s="536"/>
      <c r="L36" s="536"/>
      <c r="M36" s="536"/>
      <c r="N36" s="537"/>
      <c r="P36" s="1564" t="s">
        <v>533</v>
      </c>
      <c r="Q36" s="1564"/>
      <c r="R36" s="766" t="s">
        <v>122</v>
      </c>
      <c r="S36" s="765">
        <v>-3.78</v>
      </c>
      <c r="T36" s="535"/>
      <c r="X36" s="26" t="s">
        <v>2</v>
      </c>
      <c r="AB36" s="26" t="s">
        <v>113</v>
      </c>
    </row>
    <row r="37" spans="2:30" ht="13.5" customHeight="1">
      <c r="B37" s="781"/>
      <c r="C37" s="549"/>
      <c r="D37" s="549"/>
      <c r="E37" s="549"/>
      <c r="F37" s="549"/>
      <c r="G37" s="549"/>
      <c r="H37" s="549"/>
      <c r="I37" s="535"/>
      <c r="J37" s="535"/>
      <c r="K37" s="535"/>
      <c r="L37" s="535"/>
      <c r="M37" s="535"/>
      <c r="N37" s="538"/>
      <c r="P37" s="1564"/>
      <c r="Q37" s="1564"/>
      <c r="R37" s="766" t="s">
        <v>123</v>
      </c>
      <c r="S37" s="767">
        <v>41.024999999999999</v>
      </c>
      <c r="T37" s="535"/>
      <c r="X37" s="28" t="s">
        <v>114</v>
      </c>
      <c r="Y37" s="35" t="s">
        <v>115</v>
      </c>
      <c r="AA37" s="28" t="s">
        <v>114</v>
      </c>
      <c r="AB37" s="35" t="s">
        <v>115</v>
      </c>
    </row>
    <row r="38" spans="2:30">
      <c r="B38" s="781" t="s">
        <v>116</v>
      </c>
      <c r="C38" s="549"/>
      <c r="D38" s="549" t="s">
        <v>117</v>
      </c>
      <c r="E38" s="549"/>
      <c r="F38" s="549"/>
      <c r="G38" s="549"/>
      <c r="H38" s="549"/>
      <c r="I38" s="535"/>
      <c r="J38" s="535"/>
      <c r="K38" s="535"/>
      <c r="L38" s="535"/>
      <c r="M38" s="535"/>
      <c r="N38" s="538"/>
      <c r="Q38" s="535"/>
      <c r="R38" s="535"/>
      <c r="S38" s="764"/>
      <c r="T38" s="535"/>
      <c r="X38" s="425">
        <v>1</v>
      </c>
      <c r="Y38" s="17">
        <v>11.02</v>
      </c>
      <c r="AA38" s="426">
        <v>1</v>
      </c>
      <c r="AB38" s="17">
        <v>4.3</v>
      </c>
    </row>
    <row r="39" spans="2:30">
      <c r="B39" s="783">
        <f>INT(MAX(G22:N22))+1</f>
        <v>32</v>
      </c>
      <c r="C39" s="549"/>
      <c r="D39" s="784">
        <f>INT(MIN(G22:N22))-1</f>
        <v>29</v>
      </c>
      <c r="E39" s="549">
        <v>25</v>
      </c>
      <c r="F39" s="549"/>
      <c r="G39" s="549"/>
      <c r="H39" s="549"/>
      <c r="I39" s="535"/>
      <c r="J39" s="535"/>
      <c r="K39" s="535"/>
      <c r="L39" s="535"/>
      <c r="M39" s="535"/>
      <c r="N39" s="538"/>
      <c r="Q39" s="535"/>
      <c r="R39" s="535"/>
      <c r="S39" s="535"/>
      <c r="T39" s="535"/>
      <c r="X39" s="425">
        <v>2</v>
      </c>
      <c r="Y39" s="17">
        <v>11.16</v>
      </c>
      <c r="AA39" s="426">
        <v>2</v>
      </c>
      <c r="AB39" s="17">
        <v>4.28</v>
      </c>
    </row>
    <row r="40" spans="2:30">
      <c r="B40" s="781"/>
      <c r="C40" s="549"/>
      <c r="D40" s="549"/>
      <c r="E40" s="549"/>
      <c r="F40" s="549"/>
      <c r="G40" s="549"/>
      <c r="H40" s="549"/>
      <c r="I40" s="535"/>
      <c r="J40" s="535"/>
      <c r="K40" s="535"/>
      <c r="L40" s="535"/>
      <c r="M40" s="535"/>
      <c r="N40" s="538"/>
      <c r="T40" s="535"/>
      <c r="X40" s="425">
        <v>3</v>
      </c>
      <c r="Y40" s="17">
        <v>11.13</v>
      </c>
      <c r="AA40" s="426">
        <v>3</v>
      </c>
      <c r="AB40" s="17">
        <v>4.26</v>
      </c>
    </row>
    <row r="41" spans="2:30">
      <c r="B41" s="781"/>
      <c r="C41" s="549"/>
      <c r="D41" s="549"/>
      <c r="E41" s="549"/>
      <c r="F41" s="549"/>
      <c r="G41" s="549"/>
      <c r="H41" s="549"/>
      <c r="I41" s="535"/>
      <c r="J41" s="535"/>
      <c r="K41" s="535"/>
      <c r="L41" s="535"/>
      <c r="M41" s="535"/>
      <c r="N41" s="538"/>
      <c r="T41" s="535"/>
      <c r="X41" s="425">
        <v>4</v>
      </c>
      <c r="Y41" s="17">
        <v>11.3</v>
      </c>
      <c r="AA41" s="426">
        <v>4</v>
      </c>
      <c r="AB41" s="17">
        <v>4.28</v>
      </c>
    </row>
    <row r="42" spans="2:30">
      <c r="B42" s="781"/>
      <c r="C42" s="549"/>
      <c r="D42" s="549"/>
      <c r="E42" s="549"/>
      <c r="F42" s="549"/>
      <c r="G42" s="549"/>
      <c r="H42" s="549"/>
      <c r="I42" s="535"/>
      <c r="J42" s="535"/>
      <c r="K42" s="535"/>
      <c r="L42" s="535"/>
      <c r="M42" s="535"/>
      <c r="N42" s="538"/>
      <c r="T42" s="535"/>
      <c r="X42" s="425">
        <v>5</v>
      </c>
      <c r="Y42" s="17">
        <v>11.34</v>
      </c>
      <c r="AA42" s="426">
        <v>5</v>
      </c>
      <c r="AB42" s="17">
        <v>4.26</v>
      </c>
    </row>
    <row r="43" spans="2:30">
      <c r="B43" s="781"/>
      <c r="C43" s="549"/>
      <c r="D43" s="549"/>
      <c r="E43" s="549"/>
      <c r="F43" s="549"/>
      <c r="G43" s="549"/>
      <c r="H43" s="549"/>
      <c r="I43" s="535"/>
      <c r="J43" s="535"/>
      <c r="K43" s="535"/>
      <c r="L43" s="535"/>
      <c r="M43" s="535"/>
      <c r="N43" s="538"/>
      <c r="Q43" s="1560" t="s">
        <v>621</v>
      </c>
      <c r="R43" s="1561"/>
      <c r="S43" s="1562"/>
      <c r="T43" s="535"/>
      <c r="X43" s="425">
        <v>6</v>
      </c>
      <c r="Y43" s="17">
        <v>11.18</v>
      </c>
      <c r="AA43" s="426">
        <v>6</v>
      </c>
      <c r="AB43" s="17">
        <v>4.32</v>
      </c>
    </row>
    <row r="44" spans="2:30">
      <c r="B44" s="781"/>
      <c r="C44" s="549"/>
      <c r="D44" s="549"/>
      <c r="E44" s="549"/>
      <c r="F44" s="549"/>
      <c r="G44" s="549"/>
      <c r="H44" s="549"/>
      <c r="I44" s="535"/>
      <c r="J44" s="535"/>
      <c r="K44" s="535"/>
      <c r="L44" s="535"/>
      <c r="M44" s="535"/>
      <c r="N44" s="538"/>
      <c r="Q44" s="1100">
        <f>LOG10(G24)</f>
        <v>1.505149978319906</v>
      </c>
      <c r="R44" s="1100">
        <f>LOG10(I24)</f>
        <v>1.3802112417116059</v>
      </c>
      <c r="S44" s="1100">
        <f>LOG10(K24)</f>
        <v>1.2041199826559248</v>
      </c>
      <c r="T44" s="535"/>
      <c r="X44" s="425">
        <v>7</v>
      </c>
      <c r="Y44" s="17">
        <v>11.33</v>
      </c>
      <c r="AA44" s="426">
        <v>7</v>
      </c>
      <c r="AB44" s="17">
        <v>4.26</v>
      </c>
    </row>
    <row r="45" spans="2:30">
      <c r="B45" s="534"/>
      <c r="C45" s="535"/>
      <c r="D45" s="535"/>
      <c r="E45" s="535"/>
      <c r="F45" s="535"/>
      <c r="G45" s="535"/>
      <c r="H45" s="535"/>
      <c r="I45" s="535"/>
      <c r="J45" s="535"/>
      <c r="K45" s="535"/>
      <c r="L45" s="535"/>
      <c r="M45" s="535"/>
      <c r="N45" s="538"/>
      <c r="Q45" s="1101">
        <v>25</v>
      </c>
      <c r="R45" s="1100">
        <f>LOG(25)</f>
        <v>1.3979400086720377</v>
      </c>
      <c r="S45" s="1100">
        <f>TREND(U18:W18,Q44:S44,R45)</f>
        <v>30.791303876494531</v>
      </c>
      <c r="T45" s="535"/>
      <c r="X45" s="425">
        <v>8</v>
      </c>
      <c r="Y45" s="17">
        <v>11.3</v>
      </c>
      <c r="AA45" s="426">
        <v>8</v>
      </c>
      <c r="AB45" s="17">
        <v>4.28</v>
      </c>
    </row>
    <row r="46" spans="2:30">
      <c r="B46" s="534"/>
      <c r="C46" s="535"/>
      <c r="D46" s="535"/>
      <c r="E46" s="535"/>
      <c r="F46" s="535"/>
      <c r="G46" s="535"/>
      <c r="H46" s="535"/>
      <c r="I46" s="535"/>
      <c r="J46" s="535"/>
      <c r="K46" s="535"/>
      <c r="L46" s="535"/>
      <c r="M46" s="535"/>
      <c r="N46" s="538"/>
      <c r="X46" s="425">
        <v>9</v>
      </c>
      <c r="Y46" s="17">
        <v>11.36</v>
      </c>
      <c r="AA46" s="426">
        <v>9</v>
      </c>
      <c r="AB46" s="17">
        <v>4.26</v>
      </c>
    </row>
    <row r="47" spans="2:30">
      <c r="B47" s="534"/>
      <c r="C47" s="535"/>
      <c r="D47" s="535"/>
      <c r="E47" s="535"/>
      <c r="F47" s="535"/>
      <c r="G47" s="535"/>
      <c r="H47" s="535"/>
      <c r="I47" s="535"/>
      <c r="J47" s="535"/>
      <c r="K47" s="535"/>
      <c r="L47" s="535"/>
      <c r="M47" s="535"/>
      <c r="N47" s="538"/>
      <c r="X47" s="425">
        <v>10</v>
      </c>
      <c r="Y47" s="17">
        <v>11.14</v>
      </c>
      <c r="AA47" s="426">
        <v>10</v>
      </c>
      <c r="AB47" s="17">
        <v>4.26</v>
      </c>
    </row>
    <row r="48" spans="2:30">
      <c r="B48" s="534"/>
      <c r="C48" s="535"/>
      <c r="D48" s="535"/>
      <c r="E48" s="535"/>
      <c r="F48" s="535"/>
      <c r="G48" s="535"/>
      <c r="H48" s="535"/>
      <c r="I48" s="535"/>
      <c r="J48" s="535"/>
      <c r="K48" s="535"/>
      <c r="L48" s="535"/>
      <c r="M48" s="535"/>
      <c r="N48" s="538"/>
      <c r="X48" s="425">
        <v>11</v>
      </c>
      <c r="Y48" s="17">
        <v>11.09</v>
      </c>
      <c r="AA48" s="426">
        <v>11</v>
      </c>
      <c r="AB48" s="17">
        <v>4.3</v>
      </c>
    </row>
    <row r="49" spans="2:28">
      <c r="B49" s="534"/>
      <c r="C49" s="535"/>
      <c r="D49" s="535"/>
      <c r="E49" s="535"/>
      <c r="F49" s="535"/>
      <c r="G49" s="535"/>
      <c r="H49" s="535"/>
      <c r="I49" s="535"/>
      <c r="J49" s="535"/>
      <c r="K49" s="535"/>
      <c r="L49" s="535"/>
      <c r="M49" s="535"/>
      <c r="N49" s="538"/>
      <c r="Q49" s="1570" t="s">
        <v>544</v>
      </c>
      <c r="R49" s="1571"/>
      <c r="S49" s="1572"/>
      <c r="X49" s="425">
        <v>12</v>
      </c>
      <c r="Y49" s="17">
        <v>11.45</v>
      </c>
      <c r="AA49" s="426">
        <v>12</v>
      </c>
      <c r="AB49" s="17">
        <v>4.29</v>
      </c>
    </row>
    <row r="50" spans="2:28">
      <c r="B50" s="534"/>
      <c r="C50" s="535"/>
      <c r="D50" s="535"/>
      <c r="E50" s="535"/>
      <c r="F50" s="535"/>
      <c r="G50" s="535"/>
      <c r="H50" s="535"/>
      <c r="I50" s="535"/>
      <c r="J50" s="535"/>
      <c r="K50" s="535"/>
      <c r="L50" s="535"/>
      <c r="M50" s="535"/>
      <c r="N50" s="538"/>
      <c r="Q50" s="790">
        <f>IF(G22="","",G22*(G24/25)^0.121)</f>
        <v>31.079283234108619</v>
      </c>
      <c r="R50" s="34">
        <f>IF(I22="","",I22*(I24/25)^0.121)</f>
        <v>30.84056593447497</v>
      </c>
      <c r="S50" s="791">
        <f>+IF(K22="","",K22*(K24/25)^0.121)</f>
        <v>30.094046900620974</v>
      </c>
      <c r="X50" s="425">
        <v>13</v>
      </c>
      <c r="Y50" s="38">
        <v>11.5</v>
      </c>
      <c r="AA50" s="426">
        <v>13</v>
      </c>
      <c r="AB50" s="38">
        <v>4.2699999999999996</v>
      </c>
    </row>
    <row r="51" spans="2:28">
      <c r="B51" s="534"/>
      <c r="C51" s="535"/>
      <c r="D51" s="535"/>
      <c r="E51" s="535"/>
      <c r="F51" s="535"/>
      <c r="G51" s="535"/>
      <c r="H51" s="535"/>
      <c r="I51" s="535"/>
      <c r="J51" s="535"/>
      <c r="K51" s="535"/>
      <c r="L51" s="535"/>
      <c r="M51" s="535"/>
      <c r="N51" s="538"/>
      <c r="Q51" s="761"/>
      <c r="R51" s="26" t="s">
        <v>118</v>
      </c>
      <c r="S51" s="792"/>
      <c r="X51" s="425">
        <v>14</v>
      </c>
      <c r="Y51" s="38">
        <v>11.36</v>
      </c>
      <c r="AA51" s="426">
        <v>14</v>
      </c>
      <c r="AB51" s="38">
        <v>4.2699999999999996</v>
      </c>
    </row>
    <row r="52" spans="2:28">
      <c r="B52" s="534"/>
      <c r="C52" s="535"/>
      <c r="D52" s="535"/>
      <c r="E52" s="535"/>
      <c r="F52" s="535"/>
      <c r="G52" s="535"/>
      <c r="H52" s="535"/>
      <c r="I52" s="535"/>
      <c r="J52" s="535"/>
      <c r="K52" s="535"/>
      <c r="L52" s="535"/>
      <c r="M52" s="535"/>
      <c r="N52" s="538"/>
      <c r="Q52" s="37">
        <f>+IF(Q50="",0,1)</f>
        <v>1</v>
      </c>
      <c r="R52" s="37">
        <f>+IF(R50="",0,1)</f>
        <v>1</v>
      </c>
      <c r="S52" s="37">
        <f>+IF(S50="",0,1)</f>
        <v>1</v>
      </c>
      <c r="X52" s="425">
        <v>15</v>
      </c>
      <c r="Y52" s="38">
        <v>11.33</v>
      </c>
      <c r="AA52" s="426">
        <v>15</v>
      </c>
      <c r="AB52" s="38">
        <v>4.26</v>
      </c>
    </row>
    <row r="53" spans="2:28">
      <c r="B53" s="534"/>
      <c r="C53" s="535"/>
      <c r="D53" s="535"/>
      <c r="E53" s="535"/>
      <c r="F53" s="535"/>
      <c r="G53" s="535"/>
      <c r="H53" s="535"/>
      <c r="I53" s="535"/>
      <c r="J53" s="535"/>
      <c r="K53" s="535"/>
      <c r="L53" s="535"/>
      <c r="M53" s="535"/>
      <c r="N53" s="538"/>
      <c r="Q53" s="37"/>
      <c r="R53" s="37"/>
      <c r="S53" s="37">
        <f>+SUM(Q52:S52)</f>
        <v>3</v>
      </c>
      <c r="X53" s="425">
        <v>16</v>
      </c>
      <c r="Y53" s="38">
        <v>11.43</v>
      </c>
      <c r="AA53" s="426">
        <v>16</v>
      </c>
      <c r="AB53" s="38">
        <v>4.3</v>
      </c>
    </row>
    <row r="54" spans="2:28">
      <c r="B54" s="534"/>
      <c r="C54" s="535"/>
      <c r="D54" s="535"/>
      <c r="E54" s="535"/>
      <c r="F54" s="535"/>
      <c r="G54" s="535"/>
      <c r="H54" s="535"/>
      <c r="I54" s="535"/>
      <c r="J54" s="535"/>
      <c r="K54" s="535"/>
      <c r="L54" s="535"/>
      <c r="M54" s="535"/>
      <c r="N54" s="538"/>
      <c r="Q54" s="37">
        <f>+IF(Q52=1,Q50,0)</f>
        <v>31.079283234108619</v>
      </c>
      <c r="R54" s="37">
        <f>+IF(R52=1,R50,0)</f>
        <v>30.84056593447497</v>
      </c>
      <c r="S54" s="37">
        <f>+IF(S52=1,S50,0)</f>
        <v>30.094046900620974</v>
      </c>
      <c r="X54" s="425">
        <v>17</v>
      </c>
      <c r="Y54" s="38">
        <v>11.15</v>
      </c>
      <c r="AA54" s="426">
        <v>17</v>
      </c>
      <c r="AB54" s="38">
        <v>4.26</v>
      </c>
    </row>
    <row r="55" spans="2:28">
      <c r="B55" s="534"/>
      <c r="C55" s="535"/>
      <c r="D55" s="535"/>
      <c r="E55" s="535"/>
      <c r="F55" s="535"/>
      <c r="G55" s="535"/>
      <c r="H55" s="535"/>
      <c r="I55" s="535"/>
      <c r="J55" s="535"/>
      <c r="K55" s="535"/>
      <c r="L55" s="535"/>
      <c r="M55" s="535"/>
      <c r="N55" s="538"/>
      <c r="Q55" s="37"/>
      <c r="R55" s="37"/>
      <c r="S55" s="37"/>
      <c r="X55" s="425">
        <v>18</v>
      </c>
      <c r="Y55" s="38">
        <v>11.17</v>
      </c>
      <c r="AA55" s="426">
        <v>18</v>
      </c>
      <c r="AB55" s="39">
        <v>4.3</v>
      </c>
    </row>
    <row r="56" spans="2:28" ht="12" customHeight="1">
      <c r="B56" s="534"/>
      <c r="C56" s="535"/>
      <c r="D56" s="535"/>
      <c r="E56" s="535"/>
      <c r="F56" s="535"/>
      <c r="G56" s="535"/>
      <c r="H56" s="535"/>
      <c r="I56" s="535"/>
      <c r="J56" s="535"/>
      <c r="K56" s="535"/>
      <c r="L56" s="535"/>
      <c r="M56" s="535"/>
      <c r="N56" s="538"/>
      <c r="Q56" s="761"/>
      <c r="R56" s="26" t="s">
        <v>119</v>
      </c>
      <c r="S56" s="792"/>
      <c r="V56" s="40"/>
      <c r="X56" s="425">
        <v>19</v>
      </c>
      <c r="Y56" s="36">
        <v>11.38</v>
      </c>
      <c r="AA56" s="426">
        <v>19</v>
      </c>
      <c r="AB56" s="36">
        <v>4.29</v>
      </c>
    </row>
    <row r="57" spans="2:28" ht="15" customHeight="1">
      <c r="B57" s="761"/>
      <c r="J57" s="539"/>
      <c r="K57" s="539"/>
      <c r="L57" s="539"/>
      <c r="M57" s="539"/>
      <c r="N57" s="540"/>
      <c r="Q57" s="37">
        <f>+IF(G34="",0,1)</f>
        <v>1</v>
      </c>
      <c r="R57" s="37">
        <f>+IF(I34="",0,1)</f>
        <v>1</v>
      </c>
      <c r="S57" s="37"/>
      <c r="V57" s="40"/>
      <c r="X57" s="425">
        <v>20</v>
      </c>
      <c r="Y57" s="36">
        <v>11.26</v>
      </c>
      <c r="AA57" s="426">
        <v>20</v>
      </c>
      <c r="AB57" s="36">
        <v>4.25</v>
      </c>
    </row>
    <row r="58" spans="2:28" ht="15" customHeight="1">
      <c r="B58" s="1565" t="s">
        <v>892</v>
      </c>
      <c r="C58" s="1566"/>
      <c r="D58" s="1566"/>
      <c r="E58" s="1566"/>
      <c r="F58" s="1566"/>
      <c r="G58" s="1567"/>
      <c r="H58" s="1573" t="s">
        <v>571</v>
      </c>
      <c r="I58" s="1573"/>
      <c r="J58" s="543"/>
      <c r="K58" s="543"/>
      <c r="L58" s="543"/>
      <c r="M58" s="543"/>
      <c r="N58" s="544"/>
      <c r="Q58" s="37"/>
      <c r="R58" s="37">
        <f>+SUM(Q57:R57)</f>
        <v>2</v>
      </c>
      <c r="S58" s="37"/>
      <c r="U58" s="41"/>
      <c r="V58" s="40"/>
      <c r="X58" s="425">
        <v>21</v>
      </c>
      <c r="Y58" s="36">
        <v>11.28</v>
      </c>
      <c r="AA58" s="426">
        <v>21</v>
      </c>
      <c r="AB58" s="36">
        <v>4.29</v>
      </c>
    </row>
    <row r="59" spans="2:28" ht="15" customHeight="1">
      <c r="B59" s="541" t="s">
        <v>722</v>
      </c>
      <c r="C59" s="524"/>
      <c r="D59" s="524"/>
      <c r="E59" s="1102">
        <f>+IF(G16="","NP",U33)</f>
        <v>29.82</v>
      </c>
      <c r="F59" s="1568">
        <f>IF(G22="","--",ROUND((G22+I22+K22)/3,0))</f>
        <v>31</v>
      </c>
      <c r="G59" s="1569"/>
      <c r="H59" s="1544">
        <v>0.2</v>
      </c>
      <c r="I59" s="1544"/>
      <c r="J59" s="549">
        <f>+IF(S53=0,0,SUM(Q54:S54)/S53)</f>
        <v>30.671298689734854</v>
      </c>
      <c r="K59" s="543"/>
      <c r="L59" s="543"/>
      <c r="M59" s="543"/>
      <c r="N59" s="544"/>
      <c r="Q59" s="37">
        <f>+IF(Q57=1,G34,0)</f>
        <v>19.40085592011414</v>
      </c>
      <c r="R59" s="37">
        <f>+IF(R57=1,I34,0)</f>
        <v>19.368723098995687</v>
      </c>
      <c r="S59" s="37"/>
      <c r="U59" s="41"/>
      <c r="V59" s="40"/>
      <c r="X59" s="425">
        <v>22</v>
      </c>
      <c r="Y59" s="36">
        <v>11.36</v>
      </c>
      <c r="AA59" s="426">
        <v>22</v>
      </c>
      <c r="AB59" s="36">
        <v>4.26</v>
      </c>
    </row>
    <row r="60" spans="2:28" ht="15" customHeight="1">
      <c r="B60" s="545" t="s">
        <v>723</v>
      </c>
      <c r="C60" s="527"/>
      <c r="D60" s="527"/>
      <c r="E60" s="546"/>
      <c r="F60" s="1568">
        <f>G35</f>
        <v>19.384789509554913</v>
      </c>
      <c r="G60" s="1569"/>
      <c r="H60" s="1563" t="s">
        <v>217</v>
      </c>
      <c r="I60" s="1563"/>
      <c r="J60" s="549">
        <f>+IF(R58=0,0,SUM(Q59:R59)/R58)</f>
        <v>19.384789509554913</v>
      </c>
      <c r="K60" s="543"/>
      <c r="L60" s="543"/>
      <c r="M60" s="543"/>
      <c r="N60" s="544"/>
      <c r="U60" s="41"/>
      <c r="V60" s="40"/>
      <c r="X60" s="425">
        <v>23</v>
      </c>
      <c r="Y60" s="41">
        <v>11.37</v>
      </c>
      <c r="AA60" s="426">
        <v>23</v>
      </c>
      <c r="AB60" s="881">
        <v>4.3</v>
      </c>
    </row>
    <row r="61" spans="2:28" ht="17.25" customHeight="1">
      <c r="B61" s="547" t="s">
        <v>724</v>
      </c>
      <c r="C61" s="530"/>
      <c r="D61" s="530"/>
      <c r="E61" s="548"/>
      <c r="F61" s="1568">
        <f>IF(F60="NP",F60,+F59-F60)</f>
        <v>11.615210490445087</v>
      </c>
      <c r="G61" s="1569"/>
      <c r="H61" s="1544">
        <v>0.1</v>
      </c>
      <c r="I61" s="1544"/>
      <c r="J61" s="549">
        <f>+IF(J60=0,0,(J59-J60))</f>
        <v>11.286509180179941</v>
      </c>
      <c r="K61" s="535"/>
      <c r="L61" s="535"/>
      <c r="M61" s="535"/>
      <c r="N61" s="538"/>
      <c r="U61" s="41"/>
      <c r="V61" s="40"/>
      <c r="X61" s="425">
        <v>24</v>
      </c>
      <c r="Y61" s="41">
        <v>11.54</v>
      </c>
      <c r="AA61" s="426">
        <v>24</v>
      </c>
      <c r="AB61" s="41">
        <v>4.28</v>
      </c>
    </row>
    <row r="62" spans="2:28">
      <c r="B62" s="541"/>
      <c r="C62" s="524"/>
      <c r="D62" s="524"/>
      <c r="E62" s="524"/>
      <c r="F62" s="524"/>
      <c r="G62" s="524"/>
      <c r="H62" s="524"/>
      <c r="I62" s="524"/>
      <c r="J62" s="524"/>
      <c r="K62" s="524"/>
      <c r="L62" s="524"/>
      <c r="M62" s="524"/>
      <c r="N62" s="542"/>
      <c r="U62" s="41"/>
      <c r="V62" s="40"/>
    </row>
    <row r="63" spans="2:28">
      <c r="B63" s="545" t="s">
        <v>583</v>
      </c>
      <c r="C63" s="527"/>
      <c r="D63" s="527"/>
      <c r="E63" s="899" t="s">
        <v>341</v>
      </c>
      <c r="F63" s="527"/>
      <c r="G63" s="527"/>
      <c r="H63" s="955"/>
      <c r="I63" s="527"/>
      <c r="J63" s="527"/>
      <c r="K63" s="527"/>
      <c r="L63" s="527"/>
      <c r="M63" s="527"/>
      <c r="N63" s="546"/>
      <c r="U63" s="41"/>
      <c r="V63" s="40"/>
    </row>
    <row r="64" spans="2:28">
      <c r="B64" s="545" t="s">
        <v>584</v>
      </c>
      <c r="C64" s="551"/>
      <c r="D64" s="551"/>
      <c r="E64" s="899" t="s">
        <v>342</v>
      </c>
      <c r="F64" s="551"/>
      <c r="G64" s="527"/>
      <c r="H64" s="527"/>
      <c r="I64" s="527"/>
      <c r="J64" s="527"/>
      <c r="K64" s="527"/>
      <c r="L64" s="527"/>
      <c r="M64" s="527"/>
      <c r="N64" s="546"/>
      <c r="U64" s="41"/>
      <c r="V64" s="40"/>
    </row>
    <row r="65" spans="2:22">
      <c r="B65" s="545" t="s">
        <v>585</v>
      </c>
      <c r="C65" s="527"/>
      <c r="D65" s="527"/>
      <c r="E65" s="883" t="str">
        <f>+'D6913'!I46</f>
        <v>SC - Arena Arcillosa con grava</v>
      </c>
      <c r="F65" s="552"/>
      <c r="G65" s="527"/>
      <c r="H65" s="527"/>
      <c r="I65" s="527"/>
      <c r="J65" s="527"/>
      <c r="K65" s="527"/>
      <c r="L65" s="527"/>
      <c r="M65" s="527"/>
      <c r="N65" s="546"/>
      <c r="U65" s="41"/>
      <c r="V65" s="40"/>
    </row>
    <row r="66" spans="2:22">
      <c r="B66" s="545" t="s">
        <v>343</v>
      </c>
      <c r="C66" s="527"/>
      <c r="D66" s="527"/>
      <c r="E66" s="884">
        <f>'D6913'!E40</f>
        <v>70.494497959908315</v>
      </c>
      <c r="F66" s="882" t="s">
        <v>31</v>
      </c>
      <c r="G66" s="527"/>
      <c r="H66" s="553"/>
      <c r="I66" s="527"/>
      <c r="J66" s="527"/>
      <c r="K66" s="527"/>
      <c r="L66" s="527"/>
      <c r="M66" s="527"/>
      <c r="N66" s="546"/>
      <c r="U66" s="41"/>
      <c r="V66" s="40"/>
    </row>
    <row r="67" spans="2:22">
      <c r="B67" s="545" t="s">
        <v>586</v>
      </c>
      <c r="C67" s="527"/>
      <c r="D67" s="554"/>
      <c r="E67" s="885" t="s">
        <v>344</v>
      </c>
      <c r="F67" s="554"/>
      <c r="G67" s="527"/>
      <c r="H67" s="527"/>
      <c r="I67" s="527"/>
      <c r="J67" s="527"/>
      <c r="K67" s="527"/>
      <c r="L67" s="527"/>
      <c r="M67" s="527"/>
      <c r="N67" s="546"/>
      <c r="U67" s="41"/>
      <c r="V67" s="40"/>
    </row>
    <row r="68" spans="2:22">
      <c r="B68" s="545"/>
      <c r="C68" s="527"/>
      <c r="D68" s="527"/>
      <c r="E68" s="550"/>
      <c r="F68" s="527"/>
      <c r="G68" s="527"/>
      <c r="H68" s="527"/>
      <c r="I68" s="527"/>
      <c r="J68" s="527"/>
      <c r="K68" s="527"/>
      <c r="L68" s="527"/>
      <c r="M68" s="527"/>
      <c r="N68" s="546"/>
      <c r="U68" s="41"/>
      <c r="V68" s="40"/>
    </row>
    <row r="69" spans="2:22">
      <c r="B69" s="545" t="s">
        <v>104</v>
      </c>
      <c r="C69" s="527"/>
      <c r="D69" s="527"/>
      <c r="E69" s="550"/>
      <c r="F69" s="527"/>
      <c r="G69" s="527"/>
      <c r="H69" s="527"/>
      <c r="I69" s="527"/>
      <c r="J69" s="527"/>
      <c r="K69" s="527"/>
      <c r="L69" s="527"/>
      <c r="M69" s="527"/>
      <c r="N69" s="546"/>
      <c r="U69" s="41"/>
      <c r="V69" s="40"/>
    </row>
    <row r="70" spans="2:22">
      <c r="B70" s="983" t="s">
        <v>587</v>
      </c>
      <c r="C70" s="527"/>
      <c r="D70" s="527"/>
      <c r="E70" s="550"/>
      <c r="F70" s="527"/>
      <c r="G70" s="527"/>
      <c r="H70" s="527"/>
      <c r="I70" s="527"/>
      <c r="J70" s="527"/>
      <c r="K70" s="527"/>
      <c r="L70" s="527"/>
      <c r="M70" s="527"/>
      <c r="N70" s="546"/>
      <c r="U70" s="41"/>
      <c r="V70" s="40"/>
    </row>
    <row r="71" spans="2:22">
      <c r="B71" s="983" t="s">
        <v>588</v>
      </c>
      <c r="C71" s="527"/>
      <c r="D71" s="527"/>
      <c r="E71" s="550"/>
      <c r="F71" s="956"/>
      <c r="G71" s="527"/>
      <c r="H71" s="527"/>
      <c r="I71" s="527"/>
      <c r="J71" s="527"/>
      <c r="K71" s="527"/>
      <c r="L71" s="527"/>
      <c r="M71" s="527"/>
      <c r="N71" s="546"/>
      <c r="U71" s="41"/>
      <c r="V71" s="40"/>
    </row>
    <row r="72" spans="2:22">
      <c r="B72" s="982"/>
      <c r="C72" s="530"/>
      <c r="D72" s="530"/>
      <c r="E72" s="530"/>
      <c r="F72" s="530"/>
      <c r="G72" s="530"/>
      <c r="H72" s="530"/>
      <c r="I72" s="530"/>
      <c r="J72" s="530"/>
      <c r="K72" s="530"/>
      <c r="L72" s="530"/>
      <c r="M72" s="530"/>
      <c r="N72" s="548"/>
      <c r="U72" s="41"/>
      <c r="V72" s="40"/>
    </row>
    <row r="73" spans="2:22" ht="18" customHeight="1">
      <c r="B73" s="534"/>
      <c r="C73" s="535"/>
      <c r="D73" s="535"/>
      <c r="E73" s="535"/>
      <c r="F73" s="535"/>
      <c r="G73" s="535"/>
      <c r="H73" s="535"/>
      <c r="I73" s="535"/>
      <c r="J73" s="535"/>
      <c r="K73" s="535"/>
      <c r="L73" s="535"/>
      <c r="M73" s="535"/>
      <c r="N73" s="538"/>
      <c r="U73" s="41"/>
      <c r="V73" s="40"/>
    </row>
    <row r="74" spans="2:22" ht="15" customHeight="1">
      <c r="B74" s="519"/>
      <c r="C74" s="555"/>
      <c r="D74" s="555"/>
      <c r="E74" s="555"/>
      <c r="F74" s="555"/>
      <c r="G74" s="555"/>
      <c r="H74" s="555"/>
      <c r="I74" s="555"/>
      <c r="J74" s="555"/>
      <c r="K74" s="555"/>
      <c r="L74" s="555"/>
      <c r="M74" s="555"/>
      <c r="N74" s="556"/>
      <c r="U74" s="41"/>
      <c r="V74" s="40"/>
    </row>
    <row r="75" spans="2:22" ht="22.5" customHeight="1">
      <c r="B75" s="557"/>
      <c r="C75" s="49"/>
      <c r="D75" s="49"/>
      <c r="E75" s="49"/>
      <c r="F75" s="49"/>
      <c r="G75" s="49"/>
      <c r="H75" s="49"/>
      <c r="I75" s="49"/>
      <c r="J75" s="49"/>
      <c r="K75" s="49"/>
      <c r="L75" s="49"/>
      <c r="M75" s="49"/>
      <c r="N75" s="558"/>
      <c r="U75" s="41"/>
      <c r="V75" s="40"/>
    </row>
    <row r="76" spans="2:22" ht="24" customHeight="1">
      <c r="B76" s="557"/>
      <c r="C76" s="49"/>
      <c r="D76" s="49"/>
      <c r="E76" s="49"/>
      <c r="F76" s="49"/>
      <c r="G76" s="49"/>
      <c r="H76" s="49"/>
      <c r="I76" s="49"/>
      <c r="J76" s="49"/>
      <c r="K76" s="49"/>
      <c r="L76" s="49"/>
      <c r="M76" s="49"/>
      <c r="N76" s="558"/>
      <c r="U76" s="41"/>
      <c r="V76" s="40"/>
    </row>
    <row r="77" spans="2:22" ht="18" customHeight="1">
      <c r="B77" s="557"/>
      <c r="C77" s="49"/>
      <c r="D77" s="49"/>
      <c r="E77" s="49"/>
      <c r="F77" s="49"/>
      <c r="G77" s="49"/>
      <c r="H77" s="49"/>
      <c r="I77" s="49"/>
      <c r="J77" s="49"/>
      <c r="K77" s="49"/>
      <c r="L77" s="49"/>
      <c r="M77" s="49"/>
      <c r="N77" s="558"/>
      <c r="U77" s="41"/>
      <c r="V77" s="40"/>
    </row>
    <row r="78" spans="2:22" ht="18" customHeight="1">
      <c r="B78" s="557"/>
      <c r="C78" s="49"/>
      <c r="D78" s="49"/>
      <c r="E78" s="49"/>
      <c r="F78" s="49"/>
      <c r="G78" s="49"/>
      <c r="H78" s="49"/>
      <c r="I78" s="49"/>
      <c r="J78" s="49"/>
      <c r="K78" s="49"/>
      <c r="L78" s="49"/>
      <c r="M78" s="49"/>
      <c r="N78" s="558"/>
      <c r="U78" s="41"/>
      <c r="V78" s="40"/>
    </row>
    <row r="79" spans="2:22" ht="15.75" customHeight="1">
      <c r="B79" s="517"/>
      <c r="C79" s="518"/>
      <c r="D79" s="518"/>
      <c r="E79" s="518"/>
      <c r="F79" s="518"/>
      <c r="G79" s="518"/>
      <c r="H79" s="518"/>
      <c r="I79" s="518"/>
      <c r="J79" s="518"/>
      <c r="K79" s="518"/>
      <c r="L79" s="518"/>
      <c r="M79" s="518"/>
      <c r="N79" s="559"/>
      <c r="U79" s="41"/>
      <c r="V79" s="40"/>
    </row>
    <row r="80" spans="2:22">
      <c r="U80" s="41"/>
      <c r="V80" s="40"/>
    </row>
    <row r="81" spans="5:22">
      <c r="E81" s="420"/>
      <c r="U81" s="41"/>
      <c r="V81" s="40"/>
    </row>
    <row r="82" spans="5:22">
      <c r="U82" s="41"/>
      <c r="V82" s="40"/>
    </row>
    <row r="83" spans="5:22">
      <c r="U83" s="41"/>
      <c r="V83" s="40"/>
    </row>
    <row r="84" spans="5:22">
      <c r="U84" s="41"/>
      <c r="V84" s="40"/>
    </row>
    <row r="85" spans="5:22">
      <c r="U85" s="41"/>
      <c r="V85" s="40"/>
    </row>
    <row r="86" spans="5:22">
      <c r="U86" s="41"/>
      <c r="V86" s="40"/>
    </row>
    <row r="87" spans="5:22">
      <c r="U87" s="41"/>
      <c r="V87" s="40"/>
    </row>
    <row r="88" spans="5:22">
      <c r="U88" s="41"/>
      <c r="V88" s="40"/>
    </row>
    <row r="89" spans="5:22">
      <c r="U89" s="41"/>
      <c r="V89" s="40"/>
    </row>
    <row r="90" spans="5:22">
      <c r="U90" s="41"/>
    </row>
    <row r="91" spans="5:22">
      <c r="U91" s="41"/>
    </row>
  </sheetData>
  <dataConsolidate/>
  <mergeCells count="81">
    <mergeCell ref="Q43:S43"/>
    <mergeCell ref="H60:I60"/>
    <mergeCell ref="H61:I61"/>
    <mergeCell ref="P36:Q37"/>
    <mergeCell ref="B58:G58"/>
    <mergeCell ref="F60:G60"/>
    <mergeCell ref="F61:G61"/>
    <mergeCell ref="Q49:S49"/>
    <mergeCell ref="H58:I58"/>
    <mergeCell ref="F59:G59"/>
    <mergeCell ref="G17:H17"/>
    <mergeCell ref="I17:J17"/>
    <mergeCell ref="K17:L17"/>
    <mergeCell ref="M17:N17"/>
    <mergeCell ref="G18:H18"/>
    <mergeCell ref="I18:J18"/>
    <mergeCell ref="R12:X12"/>
    <mergeCell ref="B11:N11"/>
    <mergeCell ref="C13:G13"/>
    <mergeCell ref="J13:K13"/>
    <mergeCell ref="G16:H16"/>
    <mergeCell ref="I16:J16"/>
    <mergeCell ref="K16:L16"/>
    <mergeCell ref="M16:N16"/>
    <mergeCell ref="I33:J33"/>
    <mergeCell ref="I34:J34"/>
    <mergeCell ref="H59:I59"/>
    <mergeCell ref="K33:N33"/>
    <mergeCell ref="K34:N34"/>
    <mergeCell ref="K35:N35"/>
    <mergeCell ref="G33:H33"/>
    <mergeCell ref="G34:H34"/>
    <mergeCell ref="G35:J35"/>
    <mergeCell ref="I32:J32"/>
    <mergeCell ref="G28:H28"/>
    <mergeCell ref="G29:H29"/>
    <mergeCell ref="G30:H30"/>
    <mergeCell ref="G31:H31"/>
    <mergeCell ref="G32:H32"/>
    <mergeCell ref="I29:J29"/>
    <mergeCell ref="I30:J30"/>
    <mergeCell ref="I31:J31"/>
    <mergeCell ref="I28:J28"/>
    <mergeCell ref="L7:N7"/>
    <mergeCell ref="B14:N14"/>
    <mergeCell ref="B26:N26"/>
    <mergeCell ref="G27:J27"/>
    <mergeCell ref="K27:N27"/>
    <mergeCell ref="G15:N15"/>
    <mergeCell ref="G22:H22"/>
    <mergeCell ref="I22:J22"/>
    <mergeCell ref="K22:L22"/>
    <mergeCell ref="M22:N22"/>
    <mergeCell ref="G23:H23"/>
    <mergeCell ref="I23:J23"/>
    <mergeCell ref="G21:H21"/>
    <mergeCell ref="I21:J21"/>
    <mergeCell ref="G19:H19"/>
    <mergeCell ref="I19:J19"/>
    <mergeCell ref="K31:N31"/>
    <mergeCell ref="K32:N32"/>
    <mergeCell ref="L8:M8"/>
    <mergeCell ref="K23:L23"/>
    <mergeCell ref="M23:N23"/>
    <mergeCell ref="K18:L18"/>
    <mergeCell ref="M18:N18"/>
    <mergeCell ref="K19:L19"/>
    <mergeCell ref="M19:N19"/>
    <mergeCell ref="M20:N20"/>
    <mergeCell ref="K21:L21"/>
    <mergeCell ref="M21:N21"/>
    <mergeCell ref="K24:L24"/>
    <mergeCell ref="M24:N24"/>
    <mergeCell ref="K28:N28"/>
    <mergeCell ref="G20:H20"/>
    <mergeCell ref="I20:J20"/>
    <mergeCell ref="K20:L20"/>
    <mergeCell ref="K29:N29"/>
    <mergeCell ref="K30:N30"/>
    <mergeCell ref="G24:H24"/>
    <mergeCell ref="I24:J24"/>
  </mergeCells>
  <printOptions horizontalCentered="1" verticalCentered="1"/>
  <pageMargins left="0.11811023622047244" right="0.11811023622047244" top="0.11811023622047244" bottom="0.11811023622047244" header="0.11811023622047244" footer="0.11811023622047244"/>
  <pageSetup paperSize="9" scale="69" orientation="portrait" r:id="rId1"/>
  <headerFooter alignWithMargins="0"/>
  <colBreaks count="1" manualBreakCount="1">
    <brk id="17" max="75"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46</vt:i4>
      </vt:variant>
    </vt:vector>
  </HeadingPairs>
  <TitlesOfParts>
    <vt:vector size="53" baseType="lpstr">
      <vt:lpstr>SUCS N° 01</vt:lpstr>
      <vt:lpstr>SUCS N° 02</vt:lpstr>
      <vt:lpstr>SUCS N° 03</vt:lpstr>
      <vt:lpstr>AASHTO N° 01</vt:lpstr>
      <vt:lpstr>AASHTO N° 02</vt:lpstr>
      <vt:lpstr>D6913</vt:lpstr>
      <vt:lpstr>D4318</vt:lpstr>
      <vt:lpstr>'AASHTO N° 02'!Área_de_impresión</vt:lpstr>
      <vt:lpstr>'D4318'!Área_de_impresión</vt:lpstr>
      <vt:lpstr>'D6913'!Área_de_impresión</vt:lpstr>
      <vt:lpstr>'SUCS N° 03'!Área_de_impresión</vt:lpstr>
      <vt:lpstr>Arena</vt:lpstr>
      <vt:lpstr>'SUCS N° 03'!CC</vt:lpstr>
      <vt:lpstr>'SUCS N° 03'!CH</vt:lpstr>
      <vt:lpstr>'SUCS N° 03'!CL</vt:lpstr>
      <vt:lpstr>'SUCS N° 03'!CLML</vt:lpstr>
      <vt:lpstr>'SUCS N° 03'!CU</vt:lpstr>
      <vt:lpstr>Finos</vt:lpstr>
      <vt:lpstr>'SUCS N° 03'!GC</vt:lpstr>
      <vt:lpstr>'SUCS N° 03'!GCGM</vt:lpstr>
      <vt:lpstr>'SUCS N° 03'!GM</vt:lpstr>
      <vt:lpstr>'SUCS N° 03'!GP</vt:lpstr>
      <vt:lpstr>'SUCS N° 03'!GPGC</vt:lpstr>
      <vt:lpstr>'SUCS N° 03'!GPGCGM</vt:lpstr>
      <vt:lpstr>'SUCS N° 03'!GPGM</vt:lpstr>
      <vt:lpstr>Grava</vt:lpstr>
      <vt:lpstr>'SUCS N° 03'!GW</vt:lpstr>
      <vt:lpstr>'SUCS N° 03'!GWGC</vt:lpstr>
      <vt:lpstr>'SUCS N° 03'!GWGCGM</vt:lpstr>
      <vt:lpstr>'SUCS N° 03'!GWGM</vt:lpstr>
      <vt:lpstr>'SUCS N° 03'!IP</vt:lpstr>
      <vt:lpstr>'SUCS N° 03'!Ll</vt:lpstr>
      <vt:lpstr>'SUCS N° 03'!MH</vt:lpstr>
      <vt:lpstr>'SUCS N° 03'!ML</vt:lpstr>
      <vt:lpstr>'SUCS N° 03'!N_10</vt:lpstr>
      <vt:lpstr>'SUCS N° 03'!N_200</vt:lpstr>
      <vt:lpstr>'SUCS N° 03'!N_40</vt:lpstr>
      <vt:lpstr>'SUCS N° 03'!OH</vt:lpstr>
      <vt:lpstr>'SUCS N° 03'!OL</vt:lpstr>
      <vt:lpstr>'D4318'!PROTEGIDO1</vt:lpstr>
      <vt:lpstr>'D4318'!PROTEGIDO2</vt:lpstr>
      <vt:lpstr>Retiene_N_200</vt:lpstr>
      <vt:lpstr>'SUCS N° 03'!SC</vt:lpstr>
      <vt:lpstr>'SUCS N° 03'!SCSM</vt:lpstr>
      <vt:lpstr>'SUCS N° 03'!SM</vt:lpstr>
      <vt:lpstr>'SUCS N° 03'!SP</vt:lpstr>
      <vt:lpstr>'SUCS N° 03'!SPSC</vt:lpstr>
      <vt:lpstr>'SUCS N° 03'!SPSCSM</vt:lpstr>
      <vt:lpstr>'SUCS N° 03'!SPSM</vt:lpstr>
      <vt:lpstr>'SUCS N° 03'!SW</vt:lpstr>
      <vt:lpstr>'SUCS N° 03'!SWSC</vt:lpstr>
      <vt:lpstr>'SUCS N° 03'!SWSCSM</vt:lpstr>
      <vt:lpstr>'SUCS N° 03'!SWSM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Gregory Q</dc:creator>
  <cp:lastModifiedBy>Personal</cp:lastModifiedBy>
  <cp:lastPrinted>2026-05-21T18:17:35Z</cp:lastPrinted>
  <dcterms:created xsi:type="dcterms:W3CDTF">2012-09-07T21:09:33Z</dcterms:created>
  <dcterms:modified xsi:type="dcterms:W3CDTF">2026-06-03T23:19:38Z</dcterms:modified>
</cp:coreProperties>
</file>